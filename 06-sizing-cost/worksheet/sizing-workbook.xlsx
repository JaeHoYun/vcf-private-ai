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표지" sheetId="1" state="visible" r:id="rId3"/>
    <sheet name="입력" sheetId="2" state="visible" r:id="rId4"/>
    <sheet name="산정" sheetId="3" state="visible" r:id="rId5"/>
    <sheet name="TCO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<sst xmlns="http://schemas.openxmlformats.org/spreadsheetml/2006/main" count="223" uniqueCount="194">
  <si>
    <r>
      <rPr>
        <b val="true"/>
        <sz val="12"/>
        <color rgb="FFFFFFFF"/>
        <rFont val="Arial"/>
        <family val="0"/>
        <charset val="1"/>
      </rPr>
      <t xml:space="preserve">VCF Private AI </t>
    </r>
    <r>
      <rPr>
        <b val="true"/>
        <sz val="12"/>
        <color rgb="FFFFFFFF"/>
        <rFont val="나눔고딕"/>
        <family val="2"/>
        <charset val="129"/>
      </rPr>
      <t xml:space="preserve">사이징</t>
    </r>
    <r>
      <rPr>
        <b val="true"/>
        <sz val="12"/>
        <color rgb="FFFFFFFF"/>
        <rFont val="Arial"/>
        <family val="0"/>
        <charset val="1"/>
      </rPr>
      <t xml:space="preserve">·TCO </t>
    </r>
    <r>
      <rPr>
        <b val="true"/>
        <sz val="12"/>
        <color rgb="FFFFFFFF"/>
        <rFont val="나눔고딕"/>
        <family val="2"/>
        <charset val="129"/>
      </rPr>
      <t xml:space="preserve">계산 워크북</t>
    </r>
  </si>
  <si>
    <r>
      <rPr>
        <b val="true"/>
        <sz val="11"/>
        <color rgb="FF000000"/>
        <rFont val="나눔고딕"/>
        <family val="2"/>
        <charset val="129"/>
      </rPr>
      <t xml:space="preserve">목적</t>
    </r>
    <r>
      <rPr>
        <b val="true"/>
        <sz val="11"/>
        <color rgb="FF000000"/>
        <rFont val="Arial"/>
        <family val="0"/>
        <charset val="1"/>
      </rPr>
      <t xml:space="preserve">: </t>
    </r>
    <r>
      <rPr>
        <b val="true"/>
        <sz val="11"/>
        <color rgb="FF000000"/>
        <rFont val="나눔고딕"/>
        <family val="2"/>
        <charset val="129"/>
      </rPr>
      <t xml:space="preserve">입력값만 채우면 </t>
    </r>
    <r>
      <rPr>
        <b val="true"/>
        <sz val="11"/>
        <color rgb="FF000000"/>
        <rFont val="Arial"/>
        <family val="0"/>
        <charset val="1"/>
      </rPr>
      <t xml:space="preserve">GPU·</t>
    </r>
    <r>
      <rPr>
        <b val="true"/>
        <sz val="11"/>
        <color rgb="FF000000"/>
        <rFont val="나눔고딕"/>
        <family val="2"/>
        <charset val="129"/>
      </rPr>
      <t xml:space="preserve">노드</t>
    </r>
    <r>
      <rPr>
        <b val="true"/>
        <sz val="11"/>
        <color rgb="FF000000"/>
        <rFont val="Arial"/>
        <family val="0"/>
        <charset val="1"/>
      </rPr>
      <t xml:space="preserve">·</t>
    </r>
    <r>
      <rPr>
        <b val="true"/>
        <sz val="11"/>
        <color rgb="FF000000"/>
        <rFont val="나눔고딕"/>
        <family val="2"/>
        <charset val="129"/>
      </rPr>
      <t xml:space="preserve">클러스터</t>
    </r>
    <r>
      <rPr>
        <b val="true"/>
        <sz val="11"/>
        <color rgb="FF000000"/>
        <rFont val="Arial"/>
        <family val="0"/>
        <charset val="1"/>
      </rPr>
      <t xml:space="preserve">·</t>
    </r>
    <r>
      <rPr>
        <b val="true"/>
        <sz val="11"/>
        <color rgb="FF000000"/>
        <rFont val="나눔고딕"/>
        <family val="2"/>
        <charset val="129"/>
      </rPr>
      <t xml:space="preserve">스토리지</t>
    </r>
    <r>
      <rPr>
        <b val="true"/>
        <sz val="11"/>
        <color rgb="FF000000"/>
        <rFont val="Arial"/>
        <family val="0"/>
        <charset val="1"/>
      </rPr>
      <t xml:space="preserve">·TCO </t>
    </r>
    <r>
      <rPr>
        <b val="true"/>
        <sz val="11"/>
        <color rgb="FF000000"/>
        <rFont val="나눔고딕"/>
        <family val="2"/>
        <charset val="129"/>
      </rPr>
      <t xml:space="preserve">골격이 수식으로 자동 산출됩니다</t>
    </r>
    <r>
      <rPr>
        <b val="true"/>
        <sz val="11"/>
        <color rgb="FF000000"/>
        <rFont val="Arial"/>
        <family val="0"/>
        <charset val="1"/>
      </rPr>
      <t xml:space="preserve">.</t>
    </r>
  </si>
  <si>
    <r>
      <rPr>
        <b val="true"/>
        <sz val="11"/>
        <color rgb="FFC00000"/>
        <rFont val="Arial"/>
        <family val="0"/>
        <charset val="1"/>
      </rPr>
      <t xml:space="preserve">[</t>
    </r>
    <r>
      <rPr>
        <b val="true"/>
        <sz val="11"/>
        <color rgb="FFC00000"/>
        <rFont val="나눔고딕"/>
        <family val="2"/>
        <charset val="129"/>
      </rPr>
      <t xml:space="preserve">중요 — 반드시 읽으세요</t>
    </r>
    <r>
      <rPr>
        <b val="true"/>
        <sz val="11"/>
        <color rgb="FFC00000"/>
        <rFont val="Arial"/>
        <family val="0"/>
        <charset val="1"/>
      </rPr>
      <t xml:space="preserve">]</t>
    </r>
  </si>
  <si>
    <r>
      <rPr>
        <sz val="11"/>
        <color rgb="FF000000"/>
        <rFont val="Arial"/>
        <family val="0"/>
        <charset val="1"/>
      </rPr>
      <t xml:space="preserve">· </t>
    </r>
    <r>
      <rPr>
        <sz val="11"/>
        <color rgb="FF000000"/>
        <rFont val="나눔고딕"/>
        <family val="2"/>
        <charset val="129"/>
      </rPr>
      <t xml:space="preserve">처리량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나눔고딕"/>
        <family val="2"/>
        <charset val="129"/>
      </rPr>
      <t xml:space="preserve">동시성 등 핵심 입력의 기본값은 </t>
    </r>
    <r>
      <rPr>
        <sz val="11"/>
        <color rgb="FF000000"/>
        <rFont val="Arial"/>
        <family val="0"/>
        <charset val="1"/>
      </rPr>
      <t xml:space="preserve">'</t>
    </r>
    <r>
      <rPr>
        <sz val="11"/>
        <color rgb="FF000000"/>
        <rFont val="나눔고딕"/>
        <family val="2"/>
        <charset val="129"/>
      </rPr>
      <t xml:space="preserve">예산 추정 전용 </t>
    </r>
    <r>
      <rPr>
        <sz val="11"/>
        <color rgb="FF000000"/>
        <rFont val="Arial"/>
        <family val="0"/>
        <charset val="1"/>
      </rPr>
      <t xml:space="preserve">1</t>
    </r>
    <r>
      <rPr>
        <sz val="11"/>
        <color rgb="FF000000"/>
        <rFont val="나눔고딕"/>
        <family val="2"/>
        <charset val="129"/>
      </rPr>
      <t xml:space="preserve">차 가정치</t>
    </r>
    <r>
      <rPr>
        <sz val="11"/>
        <color rgb="FF000000"/>
        <rFont val="Arial"/>
        <family val="0"/>
        <charset val="1"/>
      </rPr>
      <t xml:space="preserve">'(</t>
    </r>
    <r>
      <rPr>
        <sz val="11"/>
        <color rgb="FF000000"/>
        <rFont val="나눔고딕"/>
        <family val="2"/>
        <charset val="129"/>
      </rPr>
      <t xml:space="preserve">부록 </t>
    </r>
    <r>
      <rPr>
        <sz val="11"/>
        <color rgb="FF000000"/>
        <rFont val="Arial"/>
        <family val="0"/>
        <charset val="1"/>
      </rPr>
      <t xml:space="preserve">A1)</t>
    </r>
    <r>
      <rPr>
        <sz val="11"/>
        <color rgb="FF000000"/>
        <rFont val="나눔고딕"/>
        <family val="2"/>
        <charset val="129"/>
      </rPr>
      <t xml:space="preserve">이며</t>
    </r>
    <r>
      <rPr>
        <sz val="11"/>
        <color rgb="FF000000"/>
        <rFont val="Arial"/>
        <family val="0"/>
        <charset val="1"/>
      </rPr>
      <t xml:space="preserve">, </t>
    </r>
    <r>
      <rPr>
        <sz val="11"/>
        <color rgb="FF000000"/>
        <rFont val="나눔고딕"/>
        <family val="2"/>
        <charset val="129"/>
      </rPr>
      <t xml:space="preserve">구매 전 윤곽 산정용입니다</t>
    </r>
    <r>
      <rPr>
        <sz val="11"/>
        <color rgb="FF000000"/>
        <rFont val="Arial"/>
        <family val="0"/>
        <charset val="1"/>
      </rPr>
      <t xml:space="preserve">.</t>
    </r>
  </si>
  <si>
    <r>
      <rPr>
        <sz val="11"/>
        <color rgb="FF000000"/>
        <rFont val="Arial"/>
        <family val="0"/>
        <charset val="1"/>
      </rPr>
      <t xml:space="preserve">· </t>
    </r>
    <r>
      <rPr>
        <sz val="11"/>
        <color rgb="FF000000"/>
        <rFont val="나눔고딕"/>
        <family val="2"/>
        <charset val="129"/>
      </rPr>
      <t xml:space="preserve">확정 사이징은 </t>
    </r>
    <r>
      <rPr>
        <sz val="11"/>
        <color rgb="FF000000"/>
        <rFont val="Arial"/>
        <family val="0"/>
        <charset val="1"/>
      </rPr>
      <t xml:space="preserve">PoC·</t>
    </r>
    <r>
      <rPr>
        <sz val="11"/>
        <color rgb="FF000000"/>
        <rFont val="나눔고딕"/>
        <family val="2"/>
        <charset val="129"/>
      </rPr>
      <t xml:space="preserve">부하시험 실측값으로 갈음해야 합니다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나눔고딕"/>
        <family val="2"/>
        <charset val="129"/>
      </rPr>
      <t xml:space="preserve">가이드 </t>
    </r>
    <r>
      <rPr>
        <sz val="11"/>
        <color rgb="FF000000"/>
        <rFont val="Arial"/>
        <family val="0"/>
        <charset val="1"/>
      </rPr>
      <t xml:space="preserve">06.5).</t>
    </r>
  </si>
  <si>
    <r>
      <rPr>
        <sz val="11"/>
        <color rgb="FF000000"/>
        <rFont val="Arial"/>
        <family val="0"/>
        <charset val="1"/>
      </rPr>
      <t xml:space="preserve">· </t>
    </r>
    <r>
      <rPr>
        <sz val="11"/>
        <color rgb="FF000000"/>
        <rFont val="나눔고딕"/>
        <family val="2"/>
        <charset val="129"/>
      </rPr>
      <t xml:space="preserve">단가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나눔고딕"/>
        <family val="2"/>
        <charset val="129"/>
      </rPr>
      <t xml:space="preserve">가격</t>
    </r>
    <r>
      <rPr>
        <sz val="11"/>
        <color rgb="FF000000"/>
        <rFont val="Arial"/>
        <family val="0"/>
        <charset val="1"/>
      </rPr>
      <t xml:space="preserve">)</t>
    </r>
    <r>
      <rPr>
        <sz val="11"/>
        <color rgb="FF000000"/>
        <rFont val="나눔고딕"/>
        <family val="2"/>
        <charset val="129"/>
      </rPr>
      <t xml:space="preserve">는 제시하지 않습니다</t>
    </r>
    <r>
      <rPr>
        <sz val="11"/>
        <color rgb="FF000000"/>
        <rFont val="Arial"/>
        <family val="0"/>
        <charset val="1"/>
      </rPr>
      <t xml:space="preserve">. TCO </t>
    </r>
    <r>
      <rPr>
        <sz val="11"/>
        <color rgb="FF000000"/>
        <rFont val="나눔고딕"/>
        <family val="2"/>
        <charset val="129"/>
      </rPr>
      <t xml:space="preserve">시트의 단가 칸은 견적으로 채우세요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나눔고딕"/>
        <family val="2"/>
        <charset val="129"/>
      </rPr>
      <t xml:space="preserve">부록 </t>
    </r>
    <r>
      <rPr>
        <sz val="11"/>
        <color rgb="FF000000"/>
        <rFont val="Arial"/>
        <family val="0"/>
        <charset val="1"/>
      </rPr>
      <t xml:space="preserve">A3).</t>
    </r>
  </si>
  <si>
    <r>
      <rPr>
        <b val="true"/>
        <sz val="11"/>
        <color rgb="FF000000"/>
        <rFont val="Arial"/>
        <family val="0"/>
        <charset val="1"/>
      </rPr>
      <t xml:space="preserve">[</t>
    </r>
    <r>
      <rPr>
        <b val="true"/>
        <sz val="11"/>
        <color rgb="FF000000"/>
        <rFont val="나눔고딕"/>
        <family val="2"/>
        <charset val="129"/>
      </rPr>
      <t xml:space="preserve">색상 약속</t>
    </r>
    <r>
      <rPr>
        <b val="true"/>
        <sz val="11"/>
        <color rgb="FF000000"/>
        <rFont val="Arial"/>
        <family val="0"/>
        <charset val="1"/>
      </rPr>
      <t xml:space="preserve">]</t>
    </r>
  </si>
  <si>
    <r>
      <rPr>
        <sz val="11"/>
        <color rgb="FF000000"/>
        <rFont val="Arial"/>
        <family val="0"/>
        <charset val="1"/>
      </rPr>
      <t xml:space="preserve">· </t>
    </r>
    <r>
      <rPr>
        <sz val="11"/>
        <color rgb="FF000000"/>
        <rFont val="나눔고딕"/>
        <family val="2"/>
        <charset val="129"/>
      </rPr>
      <t xml:space="preserve">파란 글씨 </t>
    </r>
    <r>
      <rPr>
        <sz val="11"/>
        <color rgb="FF000000"/>
        <rFont val="Arial"/>
        <family val="0"/>
        <charset val="1"/>
      </rPr>
      <t xml:space="preserve">= </t>
    </r>
    <r>
      <rPr>
        <sz val="11"/>
        <color rgb="FF000000"/>
        <rFont val="나눔고딕"/>
        <family val="2"/>
        <charset val="129"/>
      </rPr>
      <t xml:space="preserve">입력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나눔고딕"/>
        <family val="2"/>
        <charset val="129"/>
      </rPr>
      <t xml:space="preserve">여기를 바꿔 시나리오 조정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</si>
  <si>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Arial"/>
        <family val="0"/>
        <charset val="1"/>
      </rPr>
      <t xml:space="preserve">· </t>
    </r>
    <r>
      <rPr>
        <sz val="11"/>
        <color rgb="FF000000"/>
        <rFont val="나눔고딕"/>
        <family val="2"/>
        <charset val="129"/>
      </rPr>
      <t xml:space="preserve">검은 글씨 </t>
    </r>
    <r>
      <rPr>
        <sz val="11"/>
        <color rgb="FF000000"/>
        <rFont val="Arial"/>
        <family val="0"/>
        <charset val="1"/>
      </rPr>
      <t xml:space="preserve">= </t>
    </r>
    <r>
      <rPr>
        <sz val="11"/>
        <color rgb="FF000000"/>
        <rFont val="나눔고딕"/>
        <family val="2"/>
        <charset val="129"/>
      </rPr>
      <t xml:space="preserve">수식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나눔고딕"/>
        <family val="2"/>
        <charset val="129"/>
      </rPr>
      <t xml:space="preserve">계산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나눔고딕"/>
        <family val="2"/>
        <charset val="129"/>
      </rPr>
      <t xml:space="preserve">직접 수정 금지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</si>
  <si>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Arial"/>
        <family val="0"/>
        <charset val="1"/>
      </rPr>
      <t xml:space="preserve">· </t>
    </r>
    <r>
      <rPr>
        <sz val="11"/>
        <color rgb="FF000000"/>
        <rFont val="나눔고딕"/>
        <family val="2"/>
        <charset val="129"/>
      </rPr>
      <t xml:space="preserve">노란 배경 </t>
    </r>
    <r>
      <rPr>
        <sz val="11"/>
        <color rgb="FF000000"/>
        <rFont val="Arial"/>
        <family val="0"/>
        <charset val="1"/>
      </rPr>
      <t xml:space="preserve">= </t>
    </r>
    <r>
      <rPr>
        <sz val="11"/>
        <color rgb="FF000000"/>
        <rFont val="나눔고딕"/>
        <family val="2"/>
        <charset val="129"/>
      </rPr>
      <t xml:space="preserve">확인 필요 </t>
    </r>
    <r>
      <rPr>
        <sz val="11"/>
        <color rgb="FF000000"/>
        <rFont val="Arial"/>
        <family val="0"/>
        <charset val="1"/>
      </rPr>
      <t xml:space="preserve">/ 1</t>
    </r>
    <r>
      <rPr>
        <sz val="11"/>
        <color rgb="FF000000"/>
        <rFont val="나눔고딕"/>
        <family val="2"/>
        <charset val="129"/>
      </rPr>
      <t xml:space="preserve">차 가정치 </t>
    </r>
    <r>
      <rPr>
        <sz val="11"/>
        <color rgb="FF000000"/>
        <rFont val="Arial"/>
        <family val="0"/>
        <charset val="1"/>
      </rPr>
      <t xml:space="preserve">/ </t>
    </r>
    <r>
      <rPr>
        <sz val="11"/>
        <color rgb="FF000000"/>
        <rFont val="나눔고딕"/>
        <family val="2"/>
        <charset val="129"/>
      </rPr>
      <t xml:space="preserve">견적 입력 칸</t>
    </r>
  </si>
  <si>
    <r>
      <rPr>
        <b val="true"/>
        <sz val="11"/>
        <color rgb="FF000000"/>
        <rFont val="Arial"/>
        <family val="0"/>
        <charset val="1"/>
      </rPr>
      <t xml:space="preserve">[</t>
    </r>
    <r>
      <rPr>
        <b val="true"/>
        <sz val="11"/>
        <color rgb="FF000000"/>
        <rFont val="나눔고딕"/>
        <family val="2"/>
        <charset val="129"/>
      </rPr>
      <t xml:space="preserve">사용법</t>
    </r>
    <r>
      <rPr>
        <b val="true"/>
        <sz val="11"/>
        <color rgb="FF000000"/>
        <rFont val="Arial"/>
        <family val="0"/>
        <charset val="1"/>
      </rPr>
      <t xml:space="preserve">]</t>
    </r>
  </si>
  <si>
    <r>
      <rPr>
        <sz val="11"/>
        <color rgb="FF000000"/>
        <rFont val="Arial"/>
        <family val="0"/>
        <charset val="1"/>
      </rPr>
      <t xml:space="preserve">1) '</t>
    </r>
    <r>
      <rPr>
        <sz val="11"/>
        <color rgb="FF000000"/>
        <rFont val="나눔고딕"/>
        <family val="2"/>
        <charset val="129"/>
      </rPr>
      <t xml:space="preserve">입력</t>
    </r>
    <r>
      <rPr>
        <sz val="11"/>
        <color rgb="FF000000"/>
        <rFont val="Arial"/>
        <family val="0"/>
        <charset val="1"/>
      </rPr>
      <t xml:space="preserve">' </t>
    </r>
    <r>
      <rPr>
        <sz val="11"/>
        <color rgb="FF000000"/>
        <rFont val="나눔고딕"/>
        <family val="2"/>
        <charset val="129"/>
      </rPr>
      <t xml:space="preserve">시트의 파란 셀을 자사 값으로 변경  </t>
    </r>
    <r>
      <rPr>
        <sz val="11"/>
        <color rgb="FF000000"/>
        <rFont val="Arial"/>
        <family val="0"/>
        <charset val="1"/>
      </rPr>
      <t xml:space="preserve">2) '</t>
    </r>
    <r>
      <rPr>
        <sz val="11"/>
        <color rgb="FF000000"/>
        <rFont val="나눔고딕"/>
        <family val="2"/>
        <charset val="129"/>
      </rPr>
      <t xml:space="preserve">산정</t>
    </r>
    <r>
      <rPr>
        <sz val="11"/>
        <color rgb="FF000000"/>
        <rFont val="Arial"/>
        <family val="0"/>
        <charset val="1"/>
      </rPr>
      <t xml:space="preserve">'·'TCO' </t>
    </r>
    <r>
      <rPr>
        <sz val="11"/>
        <color rgb="FF000000"/>
        <rFont val="나눔고딕"/>
        <family val="2"/>
        <charset val="129"/>
      </rPr>
      <t xml:space="preserve">시트에서 결과 확인</t>
    </r>
  </si>
  <si>
    <r>
      <rPr>
        <sz val="11"/>
        <color rgb="FF000000"/>
        <rFont val="Arial"/>
        <family val="0"/>
        <charset val="1"/>
      </rPr>
      <t xml:space="preserve">3) </t>
    </r>
    <r>
      <rPr>
        <sz val="11"/>
        <color rgb="FF000000"/>
        <rFont val="나눔고딕"/>
        <family val="2"/>
        <charset val="129"/>
      </rPr>
      <t xml:space="preserve">파일을 </t>
    </r>
    <r>
      <rPr>
        <sz val="11"/>
        <color rgb="FF000000"/>
        <rFont val="Arial"/>
        <family val="0"/>
        <charset val="1"/>
      </rPr>
      <t xml:space="preserve">Excel/LibreOffice</t>
    </r>
    <r>
      <rPr>
        <sz val="11"/>
        <color rgb="FF000000"/>
        <rFont val="나눔고딕"/>
        <family val="2"/>
        <charset val="129"/>
      </rPr>
      <t xml:space="preserve">로 열면 수식이 자동 재계산됩니다</t>
    </r>
    <r>
      <rPr>
        <sz val="11"/>
        <color rgb="FF000000"/>
        <rFont val="Arial"/>
        <family val="0"/>
        <charset val="1"/>
      </rPr>
      <t xml:space="preserve">.</t>
    </r>
  </si>
  <si>
    <r>
      <rPr>
        <b val="true"/>
        <sz val="11"/>
        <color rgb="FF000000"/>
        <rFont val="Arial"/>
        <family val="0"/>
        <charset val="1"/>
      </rPr>
      <t xml:space="preserve">[</t>
    </r>
    <r>
      <rPr>
        <b val="true"/>
        <sz val="11"/>
        <color rgb="FF000000"/>
        <rFont val="나눔고딕"/>
        <family val="2"/>
        <charset val="129"/>
      </rPr>
      <t xml:space="preserve">적용 범위</t>
    </r>
    <r>
      <rPr>
        <b val="true"/>
        <sz val="11"/>
        <color rgb="FF000000"/>
        <rFont val="Arial"/>
        <family val="0"/>
        <charset val="1"/>
      </rPr>
      <t xml:space="preserve">] </t>
    </r>
    <r>
      <rPr>
        <b val="true"/>
        <sz val="11"/>
        <color rgb="FF000000"/>
        <rFont val="나눔고딕"/>
        <family val="2"/>
        <charset val="129"/>
      </rPr>
      <t xml:space="preserve">단일 모델을 </t>
    </r>
    <r>
      <rPr>
        <b val="true"/>
        <sz val="11"/>
        <color rgb="FF000000"/>
        <rFont val="Arial"/>
        <family val="0"/>
        <charset val="1"/>
      </rPr>
      <t xml:space="preserve">(Replica</t>
    </r>
    <r>
      <rPr>
        <b val="true"/>
        <sz val="11"/>
        <color rgb="FF000000"/>
        <rFont val="나눔고딕"/>
        <family val="2"/>
        <charset val="129"/>
      </rPr>
      <t xml:space="preserve">당 </t>
    </r>
    <r>
      <rPr>
        <b val="true"/>
        <sz val="11"/>
        <color rgb="FF000000"/>
        <rFont val="Arial"/>
        <family val="0"/>
        <charset val="1"/>
      </rPr>
      <t xml:space="preserve">GPU)×GPU </t>
    </r>
    <r>
      <rPr>
        <b val="true"/>
        <sz val="11"/>
        <color rgb="FF000000"/>
        <rFont val="나눔고딕"/>
        <family val="2"/>
        <charset val="129"/>
      </rPr>
      <t xml:space="preserve">메모리에 적재하는 추론 워크로드용 </t>
    </r>
    <r>
      <rPr>
        <b val="true"/>
        <sz val="11"/>
        <color rgb="FF000000"/>
        <rFont val="Arial"/>
        <family val="0"/>
        <charset val="1"/>
      </rPr>
      <t xml:space="preserve">1</t>
    </r>
    <r>
      <rPr>
        <b val="true"/>
        <sz val="11"/>
        <color rgb="FF000000"/>
        <rFont val="나눔고딕"/>
        <family val="2"/>
        <charset val="129"/>
      </rPr>
      <t xml:space="preserve">차 도구입니다</t>
    </r>
    <r>
      <rPr>
        <b val="true"/>
        <sz val="11"/>
        <color rgb="FF000000"/>
        <rFont val="Arial"/>
        <family val="0"/>
        <charset val="1"/>
      </rPr>
      <t xml:space="preserve">.</t>
    </r>
  </si>
  <si>
    <r>
      <rPr>
        <sz val="11"/>
        <color rgb="FF000000"/>
        <rFont val="Arial"/>
        <family val="0"/>
        <charset val="1"/>
      </rPr>
      <t xml:space="preserve">· </t>
    </r>
    <r>
      <rPr>
        <sz val="11"/>
        <color rgb="FF000000"/>
        <rFont val="나눔고딕"/>
        <family val="2"/>
        <charset val="129"/>
      </rPr>
      <t xml:space="preserve">모델이 단일 </t>
    </r>
    <r>
      <rPr>
        <sz val="11"/>
        <color rgb="FF000000"/>
        <rFont val="Arial"/>
        <family val="0"/>
        <charset val="1"/>
      </rPr>
      <t xml:space="preserve">Replica</t>
    </r>
    <r>
      <rPr>
        <sz val="11"/>
        <color rgb="FF000000"/>
        <rFont val="나눔고딕"/>
        <family val="2"/>
        <charset val="129"/>
      </rPr>
      <t xml:space="preserve">에 안 들어가면 </t>
    </r>
    <r>
      <rPr>
        <sz val="11"/>
        <color rgb="FF000000"/>
        <rFont val="Arial"/>
        <family val="0"/>
        <charset val="1"/>
      </rPr>
      <t xml:space="preserve">'</t>
    </r>
    <r>
      <rPr>
        <sz val="11"/>
        <color rgb="FF000000"/>
        <rFont val="나눔고딕"/>
        <family val="2"/>
        <charset val="129"/>
      </rPr>
      <t xml:space="preserve">산정</t>
    </r>
    <r>
      <rPr>
        <sz val="11"/>
        <color rgb="FF000000"/>
        <rFont val="Arial"/>
        <family val="0"/>
        <charset val="1"/>
      </rPr>
      <t xml:space="preserve">' </t>
    </r>
    <r>
      <rPr>
        <sz val="11"/>
        <color rgb="FF000000"/>
        <rFont val="나눔고딕"/>
        <family val="2"/>
        <charset val="129"/>
      </rPr>
      <t xml:space="preserve">시트가 </t>
    </r>
    <r>
      <rPr>
        <sz val="11"/>
        <color rgb="FF000000"/>
        <rFont val="Arial"/>
        <family val="0"/>
        <charset val="1"/>
      </rPr>
      <t xml:space="preserve">'</t>
    </r>
    <r>
      <rPr>
        <sz val="11"/>
        <color rgb="FF000000"/>
        <rFont val="나눔고딕"/>
        <family val="2"/>
        <charset val="129"/>
      </rPr>
      <t xml:space="preserve">적재불가</t>
    </r>
    <r>
      <rPr>
        <sz val="11"/>
        <color rgb="FF000000"/>
        <rFont val="Arial"/>
        <family val="0"/>
        <charset val="1"/>
      </rPr>
      <t xml:space="preserve">'</t>
    </r>
    <r>
      <rPr>
        <sz val="11"/>
        <color rgb="FF000000"/>
        <rFont val="나눔고딕"/>
        <family val="2"/>
        <charset val="129"/>
      </rPr>
      <t xml:space="preserve">로 표시됩니다 → 입력의 </t>
    </r>
    <r>
      <rPr>
        <sz val="11"/>
        <color rgb="FF000000"/>
        <rFont val="Arial"/>
        <family val="0"/>
        <charset val="1"/>
      </rPr>
      <t xml:space="preserve">'Replica</t>
    </r>
    <r>
      <rPr>
        <sz val="11"/>
        <color rgb="FF000000"/>
        <rFont val="나눔고딕"/>
        <family val="2"/>
        <charset val="129"/>
      </rPr>
      <t xml:space="preserve">당 </t>
    </r>
    <r>
      <rPr>
        <sz val="11"/>
        <color rgb="FF000000"/>
        <rFont val="Arial"/>
        <family val="0"/>
        <charset val="1"/>
      </rPr>
      <t xml:space="preserve">GPU'</t>
    </r>
    <r>
      <rPr>
        <sz val="11"/>
        <color rgb="FF000000"/>
        <rFont val="나눔고딕"/>
        <family val="2"/>
        <charset val="129"/>
      </rPr>
      <t xml:space="preserve">를 늘리세요</t>
    </r>
    <r>
      <rPr>
        <sz val="11"/>
        <color rgb="FF000000"/>
        <rFont val="Arial"/>
        <family val="0"/>
        <charset val="1"/>
      </rPr>
      <t xml:space="preserve">.</t>
    </r>
  </si>
  <si>
    <r>
      <rPr>
        <sz val="11"/>
        <color rgb="FF000000"/>
        <rFont val="Arial"/>
        <family val="0"/>
        <charset val="1"/>
      </rPr>
      <t xml:space="preserve">· </t>
    </r>
    <r>
      <rPr>
        <sz val="11"/>
        <color rgb="FF000000"/>
        <rFont val="나눔고딕"/>
        <family val="2"/>
        <charset val="129"/>
      </rPr>
      <t xml:space="preserve">다중 모델 동시 서빙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나눔고딕"/>
        <family val="2"/>
        <charset val="129"/>
      </rPr>
      <t xml:space="preserve">학습</t>
    </r>
    <r>
      <rPr>
        <sz val="11"/>
        <color rgb="FF000000"/>
        <rFont val="Arial"/>
        <family val="0"/>
        <charset val="1"/>
      </rPr>
      <t xml:space="preserve">/</t>
    </r>
    <r>
      <rPr>
        <sz val="11"/>
        <color rgb="FF000000"/>
        <rFont val="나눔고딕"/>
        <family val="2"/>
        <charset val="129"/>
      </rPr>
      <t xml:space="preserve">파인튜닝</t>
    </r>
    <r>
      <rPr>
        <sz val="11"/>
        <color rgb="FF000000"/>
        <rFont val="Arial"/>
        <family val="0"/>
        <charset val="1"/>
      </rPr>
      <t xml:space="preserve">·MIG </t>
    </r>
    <r>
      <rPr>
        <sz val="11"/>
        <color rgb="FF000000"/>
        <rFont val="나눔고딕"/>
        <family val="2"/>
        <charset val="129"/>
      </rPr>
      <t xml:space="preserve">세부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나눔고딕"/>
        <family val="2"/>
        <charset val="129"/>
      </rPr>
      <t xml:space="preserve">멀티테넌트 합산은 범위 밖입니다</t>
    </r>
    <r>
      <rPr>
        <sz val="11"/>
        <color rgb="FF000000"/>
        <rFont val="Arial"/>
        <family val="0"/>
        <charset val="1"/>
      </rPr>
      <t xml:space="preserve">.</t>
    </r>
  </si>
  <si>
    <r>
      <rPr>
        <b val="true"/>
        <sz val="11"/>
        <color rgb="FF000000"/>
        <rFont val="Arial"/>
        <family val="0"/>
        <charset val="1"/>
      </rPr>
      <t xml:space="preserve">[</t>
    </r>
    <r>
      <rPr>
        <b val="true"/>
        <sz val="11"/>
        <color rgb="FF000000"/>
        <rFont val="나눔고딕"/>
        <family val="2"/>
        <charset val="129"/>
      </rPr>
      <t xml:space="preserve">기본 예시</t>
    </r>
    <r>
      <rPr>
        <b val="true"/>
        <sz val="11"/>
        <color rgb="FF000000"/>
        <rFont val="Arial"/>
        <family val="0"/>
        <charset val="1"/>
      </rPr>
      <t xml:space="preserve">] </t>
    </r>
    <r>
      <rPr>
        <b val="true"/>
        <sz val="11"/>
        <color rgb="FF000000"/>
        <rFont val="나눔고딕"/>
        <family val="2"/>
        <charset val="129"/>
      </rPr>
      <t xml:space="preserve">사내 임직원 </t>
    </r>
    <r>
      <rPr>
        <b val="true"/>
        <sz val="11"/>
        <color rgb="FF000000"/>
        <rFont val="Arial"/>
        <family val="0"/>
        <charset val="1"/>
      </rPr>
      <t xml:space="preserve">5,000</t>
    </r>
    <r>
      <rPr>
        <b val="true"/>
        <sz val="11"/>
        <color rgb="FF000000"/>
        <rFont val="나눔고딕"/>
        <family val="2"/>
        <charset val="129"/>
      </rPr>
      <t xml:space="preserve">명 한국어 문서 </t>
    </r>
    <r>
      <rPr>
        <b val="true"/>
        <sz val="11"/>
        <color rgb="FF000000"/>
        <rFont val="Arial"/>
        <family val="0"/>
        <charset val="1"/>
      </rPr>
      <t xml:space="preserve">RAG </t>
    </r>
    <r>
      <rPr>
        <b val="true"/>
        <sz val="11"/>
        <color rgb="FF000000"/>
        <rFont val="나눔고딕"/>
        <family val="2"/>
        <charset val="129"/>
      </rPr>
      <t xml:space="preserve">챗봇 → 산출</t>
    </r>
    <r>
      <rPr>
        <b val="true"/>
        <sz val="11"/>
        <color rgb="FF000000"/>
        <rFont val="Arial"/>
        <family val="0"/>
        <charset val="1"/>
      </rPr>
      <t xml:space="preserve">: GPU </t>
    </r>
    <r>
      <rPr>
        <b val="true"/>
        <sz val="11"/>
        <color rgb="FF000000"/>
        <rFont val="나눔고딕"/>
        <family val="2"/>
        <charset val="129"/>
      </rPr>
      <t xml:space="preserve">약 </t>
    </r>
    <r>
      <rPr>
        <b val="true"/>
        <sz val="11"/>
        <color rgb="FF000000"/>
        <rFont val="Arial"/>
        <family val="0"/>
        <charset val="1"/>
      </rPr>
      <t xml:space="preserve">3</t>
    </r>
    <r>
      <rPr>
        <b val="true"/>
        <sz val="11"/>
        <color rgb="FF000000"/>
        <rFont val="나눔고딕"/>
        <family val="2"/>
        <charset val="129"/>
      </rPr>
      <t xml:space="preserve">장 </t>
    </r>
    <r>
      <rPr>
        <b val="true"/>
        <sz val="11"/>
        <color rgb="FF000000"/>
        <rFont val="Arial"/>
        <family val="0"/>
        <charset val="1"/>
      </rPr>
      <t xml:space="preserve">/ 9 </t>
    </r>
    <r>
      <rPr>
        <b val="true"/>
        <sz val="11"/>
        <color rgb="FF000000"/>
        <rFont val="나눔고딕"/>
        <family val="2"/>
        <charset val="129"/>
      </rPr>
      <t xml:space="preserve">노드 </t>
    </r>
    <r>
      <rPr>
        <b val="true"/>
        <sz val="11"/>
        <color rgb="FF000000"/>
        <rFont val="Arial"/>
        <family val="0"/>
        <charset val="1"/>
      </rPr>
      <t xml:space="preserve">/ </t>
    </r>
    <r>
      <rPr>
        <b val="true"/>
        <sz val="11"/>
        <color rgb="FF000000"/>
        <rFont val="나눔고딕"/>
        <family val="2"/>
        <charset val="129"/>
      </rPr>
      <t xml:space="preserve">가용 약 </t>
    </r>
    <r>
      <rPr>
        <b val="true"/>
        <sz val="11"/>
        <color rgb="FF000000"/>
        <rFont val="Arial"/>
        <family val="0"/>
        <charset val="1"/>
      </rPr>
      <t xml:space="preserve">0.6TB</t>
    </r>
  </si>
  <si>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나눔고딕"/>
        <family val="2"/>
        <charset val="129"/>
      </rPr>
      <t xml:space="preserve">가이드 </t>
    </r>
    <r>
      <rPr>
        <sz val="11"/>
        <color rgb="FF000000"/>
        <rFont val="Arial"/>
        <family val="0"/>
        <charset val="1"/>
      </rPr>
      <t xml:space="preserve">docs/08 </t>
    </r>
    <r>
      <rPr>
        <sz val="11"/>
        <color rgb="FF000000"/>
        <rFont val="나눔고딕"/>
        <family val="2"/>
        <charset val="129"/>
      </rPr>
      <t xml:space="preserve">레퍼런스 시나리오와 동일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</si>
  <si>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나눔고딕"/>
        <family val="2"/>
        <charset val="129"/>
      </rPr>
      <t xml:space="preserve">출처</t>
    </r>
    <r>
      <rPr>
        <sz val="11"/>
        <color rgb="FF000000"/>
        <rFont val="Arial"/>
        <family val="0"/>
        <charset val="1"/>
      </rPr>
      <t xml:space="preserve">: https://github.com/JaeHoYun/vcf-private-ai-sizing-cost  ·  </t>
    </r>
    <r>
      <rPr>
        <sz val="11"/>
        <color rgb="FF000000"/>
        <rFont val="나눔고딕"/>
        <family val="2"/>
        <charset val="129"/>
      </rPr>
      <t xml:space="preserve">라이선스 </t>
    </r>
    <r>
      <rPr>
        <sz val="11"/>
        <color rgb="FF000000"/>
        <rFont val="Arial"/>
        <family val="0"/>
        <charset val="1"/>
      </rPr>
      <t xml:space="preserve">CC BY 4.0</t>
    </r>
  </si>
  <si>
    <r>
      <rPr>
        <sz val="11"/>
        <color rgb="FF000000"/>
        <rFont val="나눔고딕"/>
        <family val="2"/>
        <charset val="129"/>
      </rPr>
      <t xml:space="preserve">비공식 문서 — 벤더 공식 입장 아님</t>
    </r>
    <r>
      <rPr>
        <sz val="11"/>
        <color rgb="FF000000"/>
        <rFont val="Arial"/>
        <family val="0"/>
        <charset val="1"/>
      </rPr>
      <t xml:space="preserve">. </t>
    </r>
    <r>
      <rPr>
        <sz val="11"/>
        <color rgb="FF000000"/>
        <rFont val="나눔고딕"/>
        <family val="2"/>
        <charset val="129"/>
      </rPr>
      <t xml:space="preserve">모든 수치는 어림이며 실측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나눔고딕"/>
        <family val="2"/>
        <charset val="129"/>
      </rPr>
      <t xml:space="preserve">견적으로 재확인 필요</t>
    </r>
    <r>
      <rPr>
        <sz val="11"/>
        <color rgb="FF000000"/>
        <rFont val="Arial"/>
        <family val="0"/>
        <charset val="1"/>
      </rPr>
      <t xml:space="preserve">.</t>
    </r>
  </si>
  <si>
    <r>
      <rPr>
        <b val="true"/>
        <sz val="12"/>
        <color rgb="FFFFFFFF"/>
        <rFont val="나눔고딕"/>
        <family val="2"/>
        <charset val="129"/>
      </rPr>
      <t xml:space="preserve">입력값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나눔고딕"/>
        <family val="2"/>
        <charset val="129"/>
      </rPr>
      <t xml:space="preserve">파란 셀을 변경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</si>
  <si>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워크로드</t>
  </si>
  <si>
    <t xml:space="preserve">대상 사용자 수</t>
  </si>
  <si>
    <t xml:space="preserve">명</t>
  </si>
  <si>
    <r>
      <rPr>
        <sz val="11"/>
        <rFont val="Arial"/>
        <family val="0"/>
        <charset val="1"/>
      </rPr>
      <t xml:space="preserve">DAU </t>
    </r>
    <r>
      <rPr>
        <sz val="11"/>
        <rFont val="나눔고딕"/>
        <family val="2"/>
        <charset val="129"/>
      </rPr>
      <t xml:space="preserve">비율</t>
    </r>
  </si>
  <si>
    <r>
      <rPr>
        <i val="true"/>
        <sz val="11"/>
        <color rgb="FF808080"/>
        <rFont val="나눔고딕"/>
        <family val="2"/>
        <charset val="129"/>
      </rPr>
      <t xml:space="preserve">사내 도구 </t>
    </r>
    <r>
      <rPr>
        <i val="true"/>
        <sz val="11"/>
        <color rgb="FF808080"/>
        <rFont val="Arial"/>
        <family val="0"/>
        <charset val="1"/>
      </rPr>
      <t xml:space="preserve">0.2~0.4 (A2)</t>
    </r>
  </si>
  <si>
    <r>
      <rPr>
        <sz val="11"/>
        <rFont val="Arial"/>
        <family val="0"/>
        <charset val="1"/>
      </rPr>
      <t xml:space="preserve">1</t>
    </r>
    <r>
      <rPr>
        <sz val="11"/>
        <rFont val="나눔고딕"/>
        <family val="2"/>
        <charset val="129"/>
      </rPr>
      <t xml:space="preserve">인당 일 질의</t>
    </r>
  </si>
  <si>
    <t xml:space="preserve">회</t>
  </si>
  <si>
    <r>
      <rPr>
        <i val="true"/>
        <sz val="11"/>
        <color rgb="FF808080"/>
        <rFont val="Arial"/>
        <family val="0"/>
        <charset val="1"/>
      </rPr>
      <t xml:space="preserve">A2 </t>
    </r>
    <r>
      <rPr>
        <i val="true"/>
        <sz val="11"/>
        <color rgb="FF808080"/>
        <rFont val="나눔고딕"/>
        <family val="2"/>
        <charset val="129"/>
      </rPr>
      <t xml:space="preserve">기본 </t>
    </r>
    <r>
      <rPr>
        <i val="true"/>
        <sz val="11"/>
        <color rgb="FF808080"/>
        <rFont val="Arial"/>
        <family val="0"/>
        <charset val="1"/>
      </rPr>
      <t xml:space="preserve">5~20</t>
    </r>
  </si>
  <si>
    <t xml:space="preserve">업무시간</t>
  </si>
  <si>
    <t xml:space="preserve">시간</t>
  </si>
  <si>
    <r>
      <rPr>
        <sz val="11"/>
        <rFont val="나눔고딕"/>
        <family val="2"/>
        <charset val="129"/>
      </rPr>
      <t xml:space="preserve">피크</t>
    </r>
    <r>
      <rPr>
        <sz val="11"/>
        <rFont val="Arial"/>
        <family val="0"/>
        <charset val="1"/>
      </rPr>
      <t xml:space="preserve">/</t>
    </r>
    <r>
      <rPr>
        <sz val="11"/>
        <rFont val="나눔고딕"/>
        <family val="2"/>
        <charset val="129"/>
      </rPr>
      <t xml:space="preserve">평균비</t>
    </r>
  </si>
  <si>
    <r>
      <rPr>
        <i val="true"/>
        <sz val="11"/>
        <color rgb="FF808080"/>
        <rFont val="Arial"/>
        <family val="0"/>
        <charset val="1"/>
      </rPr>
      <t xml:space="preserve">A2 </t>
    </r>
    <r>
      <rPr>
        <i val="true"/>
        <sz val="11"/>
        <color rgb="FF808080"/>
        <rFont val="나눔고딕"/>
        <family val="2"/>
        <charset val="129"/>
      </rPr>
      <t xml:space="preserve">기본 </t>
    </r>
    <r>
      <rPr>
        <i val="true"/>
        <sz val="11"/>
        <color rgb="FF808080"/>
        <rFont val="Arial"/>
        <family val="0"/>
        <charset val="1"/>
      </rPr>
      <t xml:space="preserve">3</t>
    </r>
  </si>
  <si>
    <t xml:space="preserve">요청당 처리시간</t>
  </si>
  <si>
    <t xml:space="preserve">초</t>
  </si>
  <si>
    <t xml:space="preserve">RAG 3~6 (A2)</t>
  </si>
  <si>
    <t xml:space="preserve">버스트 헤드룸</t>
  </si>
  <si>
    <t xml:space="preserve">A2</t>
  </si>
  <si>
    <t xml:space="preserve">모델</t>
  </si>
  <si>
    <t xml:space="preserve">파라미터 수</t>
  </si>
  <si>
    <r>
      <rPr>
        <i val="true"/>
        <sz val="11"/>
        <color rgb="FF808080"/>
        <rFont val="Arial"/>
        <family val="0"/>
        <charset val="1"/>
      </rPr>
      <t xml:space="preserve">B(</t>
    </r>
    <r>
      <rPr>
        <i val="true"/>
        <sz val="11"/>
        <color rgb="FF808080"/>
        <rFont val="나눔고딕"/>
        <family val="2"/>
        <charset val="129"/>
      </rPr>
      <t xml:space="preserve">십억</t>
    </r>
    <r>
      <rPr>
        <i val="true"/>
        <sz val="11"/>
        <color rgb="FF808080"/>
        <rFont val="Arial"/>
        <family val="0"/>
        <charset val="1"/>
      </rPr>
      <t xml:space="preserve">)</t>
    </r>
  </si>
  <si>
    <r>
      <rPr>
        <sz val="11"/>
        <rFont val="나눔고딕"/>
        <family val="2"/>
        <charset val="129"/>
      </rPr>
      <t xml:space="preserve">정밀도 바이트</t>
    </r>
    <r>
      <rPr>
        <sz val="11"/>
        <rFont val="Arial"/>
        <family val="0"/>
        <charset val="1"/>
      </rPr>
      <t xml:space="preserve">/param</t>
    </r>
  </si>
  <si>
    <t xml:space="preserve">byte</t>
  </si>
  <si>
    <t xml:space="preserve">FP16=2 (02.2)</t>
  </si>
  <si>
    <t xml:space="preserve">레이어 수</t>
  </si>
  <si>
    <t xml:space="preserve">config.json (A2.5)</t>
  </si>
  <si>
    <r>
      <rPr>
        <sz val="11"/>
        <rFont val="Arial"/>
        <family val="0"/>
        <charset val="1"/>
      </rPr>
      <t xml:space="preserve">KV </t>
    </r>
    <r>
      <rPr>
        <sz val="11"/>
        <rFont val="나눔고딕"/>
        <family val="2"/>
        <charset val="129"/>
      </rPr>
      <t xml:space="preserve">헤드 수</t>
    </r>
  </si>
  <si>
    <r>
      <rPr>
        <i val="true"/>
        <sz val="11"/>
        <color rgb="FF808080"/>
        <rFont val="Arial"/>
        <family val="0"/>
        <charset val="1"/>
      </rPr>
      <t xml:space="preserve">GQA</t>
    </r>
    <r>
      <rPr>
        <i val="true"/>
        <sz val="11"/>
        <color rgb="FF808080"/>
        <rFont val="나눔고딕"/>
        <family val="2"/>
        <charset val="129"/>
      </rPr>
      <t xml:space="preserve">면 어텐션헤드보다 작음 </t>
    </r>
    <r>
      <rPr>
        <i val="true"/>
        <sz val="11"/>
        <color rgb="FF808080"/>
        <rFont val="Arial"/>
        <family val="0"/>
        <charset val="1"/>
      </rPr>
      <t xml:space="preserve">(A2.5)</t>
    </r>
  </si>
  <si>
    <t xml:space="preserve">head_dim</t>
  </si>
  <si>
    <t xml:space="preserve">A2.5</t>
  </si>
  <si>
    <r>
      <rPr>
        <sz val="11"/>
        <rFont val="Arial"/>
        <family val="0"/>
        <charset val="1"/>
      </rPr>
      <t xml:space="preserve">KV </t>
    </r>
    <r>
      <rPr>
        <sz val="11"/>
        <rFont val="나눔고딕"/>
        <family val="2"/>
        <charset val="129"/>
      </rPr>
      <t xml:space="preserve">정밀도 바이트</t>
    </r>
  </si>
  <si>
    <r>
      <rPr>
        <i val="true"/>
        <sz val="11"/>
        <color rgb="FF808080"/>
        <rFont val="Arial"/>
        <family val="0"/>
        <charset val="1"/>
      </rPr>
      <t xml:space="preserve">FP8 KV</t>
    </r>
    <r>
      <rPr>
        <i val="true"/>
        <sz val="11"/>
        <color rgb="FF808080"/>
        <rFont val="나눔고딕"/>
        <family val="2"/>
        <charset val="129"/>
      </rPr>
      <t xml:space="preserve">면 </t>
    </r>
    <r>
      <rPr>
        <i val="true"/>
        <sz val="11"/>
        <color rgb="FF808080"/>
        <rFont val="Arial"/>
        <family val="0"/>
        <charset val="1"/>
      </rPr>
      <t xml:space="preserve">1</t>
    </r>
  </si>
  <si>
    <t xml:space="preserve">컨텍스트</t>
  </si>
  <si>
    <r>
      <rPr>
        <sz val="11"/>
        <rFont val="나눔고딕"/>
        <family val="2"/>
        <charset val="129"/>
      </rPr>
      <t xml:space="preserve">컨텍스트 토큰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입력</t>
    </r>
    <r>
      <rPr>
        <sz val="11"/>
        <rFont val="Arial"/>
        <family val="0"/>
        <charset val="1"/>
      </rPr>
      <t xml:space="preserve">+</t>
    </r>
    <r>
      <rPr>
        <sz val="11"/>
        <rFont val="나눔고딕"/>
        <family val="2"/>
        <charset val="129"/>
      </rPr>
      <t xml:space="preserve">출력</t>
    </r>
    <r>
      <rPr>
        <sz val="11"/>
        <rFont val="Arial"/>
        <family val="0"/>
        <charset val="1"/>
      </rPr>
      <t xml:space="preserve">)</t>
    </r>
  </si>
  <si>
    <t xml:space="preserve">tok</t>
  </si>
  <si>
    <t xml:space="preserve">평균 출력 토큰</t>
  </si>
  <si>
    <r>
      <rPr>
        <b val="true"/>
        <sz val="11"/>
        <color rgb="FF1F3864"/>
        <rFont val="Arial"/>
        <family val="0"/>
        <charset val="1"/>
      </rPr>
      <t xml:space="preserve">GPU·</t>
    </r>
    <r>
      <rPr>
        <b val="true"/>
        <sz val="11"/>
        <color rgb="FF1F3864"/>
        <rFont val="나눔고딕"/>
        <family val="2"/>
        <charset val="129"/>
      </rPr>
      <t xml:space="preserve">노드 사양</t>
    </r>
  </si>
  <si>
    <r>
      <rPr>
        <sz val="11"/>
        <rFont val="Arial"/>
        <family val="0"/>
        <charset val="1"/>
      </rPr>
      <t xml:space="preserve">GPU </t>
    </r>
    <r>
      <rPr>
        <sz val="11"/>
        <rFont val="나눔고딕"/>
        <family val="2"/>
        <charset val="129"/>
      </rPr>
      <t xml:space="preserve">메모리</t>
    </r>
  </si>
  <si>
    <t xml:space="preserve">GB</t>
  </si>
  <si>
    <t xml:space="preserve">gpu_memory_utilization</t>
  </si>
  <si>
    <r>
      <rPr>
        <i val="true"/>
        <sz val="11"/>
        <color rgb="FF808080"/>
        <rFont val="Arial"/>
        <family val="0"/>
        <charset val="1"/>
      </rPr>
      <t xml:space="preserve">vLLM </t>
    </r>
    <r>
      <rPr>
        <i val="true"/>
        <sz val="11"/>
        <color rgb="FF808080"/>
        <rFont val="나눔고딕"/>
        <family val="2"/>
        <charset val="129"/>
      </rPr>
      <t xml:space="preserve">기본 </t>
    </r>
    <r>
      <rPr>
        <i val="true"/>
        <sz val="11"/>
        <color rgb="FF808080"/>
        <rFont val="Arial"/>
        <family val="0"/>
        <charset val="1"/>
      </rPr>
      <t xml:space="preserve">0.9 (02.1)</t>
    </r>
  </si>
  <si>
    <r>
      <rPr>
        <sz val="11"/>
        <rFont val="나눔고딕"/>
        <family val="2"/>
        <charset val="129"/>
      </rPr>
      <t xml:space="preserve">활성화</t>
    </r>
    <r>
      <rPr>
        <sz val="11"/>
        <rFont val="Arial"/>
        <family val="0"/>
        <charset val="1"/>
      </rPr>
      <t xml:space="preserve">·</t>
    </r>
    <r>
      <rPr>
        <sz val="11"/>
        <rFont val="나눔고딕"/>
        <family val="2"/>
        <charset val="129"/>
      </rPr>
      <t xml:space="preserve">오버헤드</t>
    </r>
  </si>
  <si>
    <t xml:space="preserve">어림</t>
  </si>
  <si>
    <r>
      <rPr>
        <sz val="11"/>
        <rFont val="Arial"/>
        <family val="0"/>
        <charset val="1"/>
      </rPr>
      <t xml:space="preserve">[A1] 1</t>
    </r>
    <r>
      <rPr>
        <sz val="11"/>
        <rFont val="나눔고딕"/>
        <family val="2"/>
        <charset val="129"/>
      </rPr>
      <t xml:space="preserve">차 처리량 가정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단일 </t>
    </r>
    <r>
      <rPr>
        <sz val="11"/>
        <rFont val="Arial"/>
        <family val="0"/>
        <charset val="1"/>
      </rPr>
      <t xml:space="preserve">GPU)</t>
    </r>
  </si>
  <si>
    <t xml:space="preserve">tok/s</t>
  </si>
  <si>
    <r>
      <rPr>
        <i val="true"/>
        <sz val="11"/>
        <color rgb="FF808080"/>
        <rFont val="나눔고딕"/>
        <family val="2"/>
        <charset val="129"/>
      </rPr>
      <t xml:space="preserve">예산 추정 전용</t>
    </r>
    <r>
      <rPr>
        <i val="true"/>
        <sz val="11"/>
        <color rgb="FF808080"/>
        <rFont val="Arial"/>
        <family val="0"/>
        <charset val="1"/>
      </rPr>
      <t xml:space="preserve">·</t>
    </r>
    <r>
      <rPr>
        <i val="true"/>
        <sz val="11"/>
        <color rgb="FF808080"/>
        <rFont val="나눔고딕"/>
        <family val="2"/>
        <charset val="129"/>
      </rPr>
      <t xml:space="preserve">실측 갈음 </t>
    </r>
    <r>
      <rPr>
        <i val="true"/>
        <sz val="11"/>
        <color rgb="FF808080"/>
        <rFont val="Arial"/>
        <family val="0"/>
        <charset val="1"/>
      </rPr>
      <t xml:space="preserve">(A1.1)</t>
    </r>
  </si>
  <si>
    <r>
      <rPr>
        <sz val="11"/>
        <rFont val="Arial"/>
        <family val="0"/>
        <charset val="1"/>
      </rPr>
      <t xml:space="preserve">Replica</t>
    </r>
    <r>
      <rPr>
        <sz val="11"/>
        <rFont val="나눔고딕"/>
        <family val="2"/>
        <charset val="129"/>
      </rPr>
      <t xml:space="preserve">당 </t>
    </r>
    <r>
      <rPr>
        <sz val="11"/>
        <rFont val="Arial"/>
        <family val="0"/>
        <charset val="1"/>
      </rPr>
      <t xml:space="preserve">GPU</t>
    </r>
  </si>
  <si>
    <r>
      <rPr>
        <i val="true"/>
        <sz val="11"/>
        <color rgb="FF808080"/>
        <rFont val="나눔고딕"/>
        <family val="2"/>
        <charset val="129"/>
      </rPr>
      <t xml:space="preserve">텐서 병렬 </t>
    </r>
    <r>
      <rPr>
        <i val="true"/>
        <sz val="11"/>
        <color rgb="FF808080"/>
        <rFont val="Arial"/>
        <family val="0"/>
        <charset val="1"/>
      </rPr>
      <t xml:space="preserve">GPU </t>
    </r>
    <r>
      <rPr>
        <i val="true"/>
        <sz val="11"/>
        <color rgb="FF808080"/>
        <rFont val="나눔고딕"/>
        <family val="2"/>
        <charset val="129"/>
      </rPr>
      <t xml:space="preserve">수</t>
    </r>
    <r>
      <rPr>
        <i val="true"/>
        <sz val="11"/>
        <color rgb="FF808080"/>
        <rFont val="Arial"/>
        <family val="0"/>
        <charset val="1"/>
      </rPr>
      <t xml:space="preserve">. </t>
    </r>
    <r>
      <rPr>
        <i val="true"/>
        <sz val="11"/>
        <color rgb="FF808080"/>
        <rFont val="나눔고딕"/>
        <family val="2"/>
        <charset val="129"/>
      </rPr>
      <t xml:space="preserve">가용 </t>
    </r>
    <r>
      <rPr>
        <i val="true"/>
        <sz val="11"/>
        <color rgb="FF808080"/>
        <rFont val="Arial"/>
        <family val="0"/>
        <charset val="1"/>
      </rPr>
      <t xml:space="preserve">VRAM=</t>
    </r>
    <r>
      <rPr>
        <i val="true"/>
        <sz val="11"/>
        <color rgb="FF808080"/>
        <rFont val="나눔고딕"/>
        <family val="2"/>
        <charset val="129"/>
      </rPr>
      <t xml:space="preserve">이 값</t>
    </r>
    <r>
      <rPr>
        <i val="true"/>
        <sz val="11"/>
        <color rgb="FF808080"/>
        <rFont val="Arial"/>
        <family val="0"/>
        <charset val="1"/>
      </rPr>
      <t xml:space="preserve">×GPU</t>
    </r>
    <r>
      <rPr>
        <i val="true"/>
        <sz val="11"/>
        <color rgb="FF808080"/>
        <rFont val="나눔고딕"/>
        <family val="2"/>
        <charset val="129"/>
      </rPr>
      <t xml:space="preserve">메모리</t>
    </r>
    <r>
      <rPr>
        <i val="true"/>
        <sz val="11"/>
        <color rgb="FF808080"/>
        <rFont val="Arial"/>
        <family val="0"/>
        <charset val="1"/>
      </rPr>
      <t xml:space="preserve">. 8B=1, 70B FP16=4 </t>
    </r>
    <r>
      <rPr>
        <i val="true"/>
        <sz val="11"/>
        <color rgb="FF808080"/>
        <rFont val="나눔고딕"/>
        <family val="2"/>
        <charset val="129"/>
      </rPr>
      <t xml:space="preserve">등</t>
    </r>
  </si>
  <si>
    <r>
      <rPr>
        <sz val="11"/>
        <rFont val="나눔고딕"/>
        <family val="2"/>
        <charset val="129"/>
      </rPr>
      <t xml:space="preserve">가용성 추가 </t>
    </r>
    <r>
      <rPr>
        <sz val="11"/>
        <rFont val="Arial"/>
        <family val="0"/>
        <charset val="1"/>
      </rPr>
      <t xml:space="preserve">Replica(N+1)</t>
    </r>
  </si>
  <si>
    <r>
      <rPr>
        <sz val="11"/>
        <rFont val="나눔고딕"/>
        <family val="2"/>
        <charset val="129"/>
      </rPr>
      <t xml:space="preserve">임베딩</t>
    </r>
    <r>
      <rPr>
        <sz val="11"/>
        <rFont val="Arial"/>
        <family val="0"/>
        <charset val="1"/>
      </rPr>
      <t xml:space="preserve">·</t>
    </r>
    <r>
      <rPr>
        <sz val="11"/>
        <rFont val="나눔고딕"/>
        <family val="2"/>
        <charset val="129"/>
      </rPr>
      <t xml:space="preserve">리랭커 </t>
    </r>
    <r>
      <rPr>
        <sz val="11"/>
        <rFont val="Arial"/>
        <family val="0"/>
        <charset val="1"/>
      </rPr>
      <t xml:space="preserve">GPU</t>
    </r>
  </si>
  <si>
    <t xml:space="preserve">A1.2 / 03.5</t>
  </si>
  <si>
    <r>
      <rPr>
        <sz val="11"/>
        <rFont val="나눔고딕"/>
        <family val="2"/>
        <charset val="129"/>
      </rPr>
      <t xml:space="preserve">노드당 </t>
    </r>
    <r>
      <rPr>
        <sz val="11"/>
        <rFont val="Arial"/>
        <family val="0"/>
        <charset val="1"/>
      </rPr>
      <t xml:space="preserve">GPU</t>
    </r>
  </si>
  <si>
    <t xml:space="preserve">many-small (04.3)</t>
  </si>
  <si>
    <r>
      <rPr>
        <sz val="11"/>
        <rFont val="나눔고딕"/>
        <family val="2"/>
        <charset val="129"/>
      </rPr>
      <t xml:space="preserve">노드 헤드룸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오토스케일</t>
    </r>
    <r>
      <rPr>
        <sz val="11"/>
        <rFont val="Arial"/>
        <family val="0"/>
        <charset val="1"/>
      </rPr>
      <t xml:space="preserve">)</t>
    </r>
  </si>
  <si>
    <t xml:space="preserve">04.4</t>
  </si>
  <si>
    <r>
      <rPr>
        <sz val="11"/>
        <rFont val="Arial"/>
        <family val="0"/>
        <charset val="1"/>
      </rPr>
      <t xml:space="preserve">PAIF </t>
    </r>
    <r>
      <rPr>
        <sz val="11"/>
        <rFont val="나눔고딕"/>
        <family val="2"/>
        <charset val="129"/>
      </rPr>
      <t xml:space="preserve">최소 </t>
    </r>
    <r>
      <rPr>
        <sz val="11"/>
        <rFont val="Arial"/>
        <family val="0"/>
        <charset val="1"/>
      </rPr>
      <t xml:space="preserve">GPU </t>
    </r>
    <r>
      <rPr>
        <sz val="11"/>
        <rFont val="나눔고딕"/>
        <family val="2"/>
        <charset val="129"/>
      </rPr>
      <t xml:space="preserve">호스트</t>
    </r>
  </si>
  <si>
    <t xml:space="preserve">01.1 / 03.2</t>
  </si>
  <si>
    <t xml:space="preserve">일반 워커 노드</t>
  </si>
  <si>
    <t xml:space="preserve">HA</t>
  </si>
  <si>
    <t xml:space="preserve">컨트롤 플레인 노드</t>
  </si>
  <si>
    <r>
      <rPr>
        <i val="true"/>
        <sz val="11"/>
        <color rgb="FF808080"/>
        <rFont val="나눔고딕"/>
        <family val="2"/>
        <charset val="129"/>
      </rPr>
      <t xml:space="preserve">홀수 </t>
    </r>
    <r>
      <rPr>
        <i val="true"/>
        <sz val="11"/>
        <color rgb="FF808080"/>
        <rFont val="Arial"/>
        <family val="0"/>
        <charset val="1"/>
      </rPr>
      <t xml:space="preserve">HA (04.1)</t>
    </r>
  </si>
  <si>
    <t xml:space="preserve">클러스터 수</t>
  </si>
  <si>
    <r>
      <rPr>
        <i val="true"/>
        <sz val="11"/>
        <color rgb="FF808080"/>
        <rFont val="나눔고딕"/>
        <family val="2"/>
        <charset val="129"/>
      </rPr>
      <t xml:space="preserve">격리 요구 시 증가 </t>
    </r>
    <r>
      <rPr>
        <i val="true"/>
        <sz val="11"/>
        <color rgb="FF808080"/>
        <rFont val="Arial"/>
        <family val="0"/>
        <charset val="1"/>
      </rPr>
      <t xml:space="preserve">(04.5)</t>
    </r>
  </si>
  <si>
    <r>
      <rPr>
        <sz val="11"/>
        <rFont val="Arial"/>
        <family val="0"/>
        <charset val="1"/>
      </rPr>
      <t xml:space="preserve">Supervisor </t>
    </r>
    <r>
      <rPr>
        <sz val="11"/>
        <rFont val="나눔고딕"/>
        <family val="2"/>
        <charset val="129"/>
      </rPr>
      <t xml:space="preserve">클러스터 한도</t>
    </r>
  </si>
  <si>
    <t xml:space="preserve">VKS 3.6 (04.5)</t>
  </si>
  <si>
    <r>
      <rPr>
        <sz val="11"/>
        <rFont val="Arial"/>
        <family val="0"/>
        <charset val="1"/>
      </rPr>
      <t xml:space="preserve">Supervisor </t>
    </r>
    <r>
      <rPr>
        <sz val="11"/>
        <rFont val="나눔고딕"/>
        <family val="2"/>
        <charset val="129"/>
      </rPr>
      <t xml:space="preserve">노드 한도</t>
    </r>
  </si>
  <si>
    <t xml:space="preserve">스토리지</t>
  </si>
  <si>
    <t xml:space="preserve">모델 보존 버전 수</t>
  </si>
  <si>
    <t xml:space="preserve">05.1</t>
  </si>
  <si>
    <r>
      <rPr>
        <sz val="11"/>
        <rFont val="Arial"/>
        <family val="0"/>
        <charset val="1"/>
      </rPr>
      <t xml:space="preserve">NIM </t>
    </r>
    <r>
      <rPr>
        <sz val="11"/>
        <rFont val="나눔고딕"/>
        <family val="2"/>
        <charset val="129"/>
      </rPr>
      <t xml:space="preserve">컨테이너 이미지</t>
    </r>
  </si>
  <si>
    <t xml:space="preserve">확인 필요</t>
  </si>
  <si>
    <t xml:space="preserve">문서 코퍼스 원문</t>
  </si>
  <si>
    <t xml:space="preserve">전처리 배수</t>
  </si>
  <si>
    <t xml:space="preserve">벡터 수</t>
  </si>
  <si>
    <t xml:space="preserve">건</t>
  </si>
  <si>
    <t xml:space="preserve">벡터 차원</t>
  </si>
  <si>
    <t xml:space="preserve">05.2</t>
  </si>
  <si>
    <r>
      <rPr>
        <sz val="11"/>
        <rFont val="나눔고딕"/>
        <family val="2"/>
        <charset val="129"/>
      </rPr>
      <t xml:space="preserve">벡터 </t>
    </r>
    <r>
      <rPr>
        <sz val="11"/>
        <rFont val="Arial"/>
        <family val="0"/>
        <charset val="1"/>
      </rPr>
      <t xml:space="preserve">float </t>
    </r>
    <r>
      <rPr>
        <sz val="11"/>
        <rFont val="나눔고딕"/>
        <family val="2"/>
        <charset val="129"/>
      </rPr>
      <t xml:space="preserve">바이트</t>
    </r>
  </si>
  <si>
    <t xml:space="preserve">pgvector float32</t>
  </si>
  <si>
    <r>
      <rPr>
        <sz val="11"/>
        <rFont val="Arial"/>
        <family val="0"/>
        <charset val="1"/>
      </rPr>
      <t xml:space="preserve">HNSW </t>
    </r>
    <r>
      <rPr>
        <sz val="11"/>
        <rFont val="나눔고딕"/>
        <family val="2"/>
        <charset val="129"/>
      </rPr>
      <t xml:space="preserve">배수</t>
    </r>
  </si>
  <si>
    <t xml:space="preserve">1.5~3 (05.2)</t>
  </si>
  <si>
    <r>
      <rPr>
        <sz val="11"/>
        <rFont val="나눔고딕"/>
        <family val="2"/>
        <charset val="129"/>
      </rPr>
      <t xml:space="preserve">로그</t>
    </r>
    <r>
      <rPr>
        <sz val="11"/>
        <rFont val="Arial"/>
        <family val="0"/>
        <charset val="1"/>
      </rPr>
      <t xml:space="preserve">·</t>
    </r>
    <r>
      <rPr>
        <sz val="11"/>
        <rFont val="나눔고딕"/>
        <family val="2"/>
        <charset val="129"/>
      </rPr>
      <t xml:space="preserve">관측</t>
    </r>
    <r>
      <rPr>
        <sz val="11"/>
        <rFont val="Arial"/>
        <family val="0"/>
        <charset val="1"/>
      </rPr>
      <t xml:space="preserve">(90</t>
    </r>
    <r>
      <rPr>
        <sz val="11"/>
        <rFont val="나눔고딕"/>
        <family val="2"/>
        <charset val="129"/>
      </rPr>
      <t xml:space="preserve">일</t>
    </r>
    <r>
      <rPr>
        <sz val="11"/>
        <rFont val="Arial"/>
        <family val="0"/>
        <charset val="1"/>
      </rPr>
      <t xml:space="preserve">)</t>
    </r>
  </si>
  <si>
    <t xml:space="preserve">보존 의존</t>
  </si>
  <si>
    <r>
      <rPr>
        <sz val="11"/>
        <rFont val="Arial"/>
        <family val="0"/>
        <charset val="1"/>
      </rPr>
      <t xml:space="preserve">vSAN </t>
    </r>
    <r>
      <rPr>
        <sz val="11"/>
        <rFont val="나눔고딕"/>
        <family val="2"/>
        <charset val="129"/>
      </rPr>
      <t xml:space="preserve">보호 오버헤드 배수</t>
    </r>
  </si>
  <si>
    <t xml:space="preserve">Auto-RAID (05.3)</t>
  </si>
  <si>
    <r>
      <rPr>
        <sz val="11"/>
        <rFont val="나눔고딕"/>
        <family val="2"/>
        <charset val="129"/>
      </rPr>
      <t xml:space="preserve">압축</t>
    </r>
    <r>
      <rPr>
        <sz val="11"/>
        <rFont val="Arial"/>
        <family val="0"/>
        <charset val="1"/>
      </rPr>
      <t xml:space="preserve">·</t>
    </r>
    <r>
      <rPr>
        <sz val="11"/>
        <rFont val="나눔고딕"/>
        <family val="2"/>
        <charset val="129"/>
      </rPr>
      <t xml:space="preserve">중복제거 절감 배수</t>
    </r>
  </si>
  <si>
    <r>
      <rPr>
        <i val="true"/>
        <sz val="11"/>
        <color rgb="FF808080"/>
        <rFont val="나눔고딕"/>
        <family val="2"/>
        <charset val="129"/>
      </rPr>
      <t xml:space="preserve">보수적 </t>
    </r>
    <r>
      <rPr>
        <i val="true"/>
        <sz val="11"/>
        <color rgb="FF808080"/>
        <rFont val="Arial"/>
        <family val="0"/>
        <charset val="1"/>
      </rPr>
      <t xml:space="preserve">1.0 (05.3)</t>
    </r>
  </si>
  <si>
    <t xml:space="preserve">라이선스</t>
  </si>
  <si>
    <t xml:space="preserve">라이선스 대상 물리 호스트 수</t>
  </si>
  <si>
    <r>
      <rPr>
        <i val="true"/>
        <sz val="11"/>
        <color rgb="FF808080"/>
        <rFont val="나눔고딕"/>
        <family val="2"/>
        <charset val="129"/>
      </rPr>
      <t xml:space="preserve">확인 필요 — 도메인 호스트 수 </t>
    </r>
    <r>
      <rPr>
        <i val="true"/>
        <sz val="11"/>
        <color rgb="FF808080"/>
        <rFont val="Arial"/>
        <family val="0"/>
        <charset val="1"/>
      </rPr>
      <t xml:space="preserve">(A3)</t>
    </r>
  </si>
  <si>
    <t xml:space="preserve">호스트당 물리 코어</t>
  </si>
  <si>
    <t xml:space="preserve">예시</t>
  </si>
  <si>
    <t xml:space="preserve">호스트당 소켓 수</t>
  </si>
  <si>
    <t xml:space="preserve">소켓당 코어 최소수량</t>
  </si>
  <si>
    <r>
      <rPr>
        <i val="true"/>
        <sz val="11"/>
        <color rgb="FF808080"/>
        <rFont val="나눔고딕"/>
        <family val="2"/>
        <charset val="129"/>
      </rPr>
      <t xml:space="preserve">확인 필요 — </t>
    </r>
    <r>
      <rPr>
        <i val="true"/>
        <sz val="11"/>
        <color rgb="FF808080"/>
        <rFont val="Arial"/>
        <family val="0"/>
        <charset val="1"/>
      </rPr>
      <t xml:space="preserve">A3 </t>
    </r>
    <r>
      <rPr>
        <i val="true"/>
        <sz val="11"/>
        <color rgb="FF808080"/>
        <rFont val="나눔고딕"/>
        <family val="2"/>
        <charset val="129"/>
      </rPr>
      <t xml:space="preserve">견적</t>
    </r>
  </si>
  <si>
    <r>
      <rPr>
        <b val="true"/>
        <sz val="12"/>
        <color rgb="FFFFFFFF"/>
        <rFont val="나눔고딕"/>
        <family val="2"/>
        <charset val="129"/>
      </rPr>
      <t xml:space="preserve">사이징 산정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나눔고딕"/>
        <family val="2"/>
        <charset val="129"/>
      </rPr>
      <t xml:space="preserve">검은 셀 </t>
    </r>
    <r>
      <rPr>
        <b val="true"/>
        <sz val="12"/>
        <color rgb="FFFFFFFF"/>
        <rFont val="Arial"/>
        <family val="0"/>
        <charset val="1"/>
      </rPr>
      <t xml:space="preserve">= </t>
    </r>
    <r>
      <rPr>
        <b val="true"/>
        <sz val="12"/>
        <color rgb="FFFFFFFF"/>
        <rFont val="나눔고딕"/>
        <family val="2"/>
        <charset val="129"/>
      </rPr>
      <t xml:space="preserve">수식</t>
    </r>
    <r>
      <rPr>
        <b val="true"/>
        <sz val="12"/>
        <color rgb="FFFFFFFF"/>
        <rFont val="Arial"/>
        <family val="0"/>
        <charset val="1"/>
      </rPr>
      <t xml:space="preserve">, </t>
    </r>
    <r>
      <rPr>
        <b val="true"/>
        <sz val="12"/>
        <color rgb="FFFFFFFF"/>
        <rFont val="나눔고딕"/>
        <family val="2"/>
        <charset val="129"/>
      </rPr>
      <t xml:space="preserve">수정 금지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</si>
  <si>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1F3864"/>
        <rFont val="나눔고딕"/>
        <family val="2"/>
        <charset val="129"/>
      </rPr>
      <t xml:space="preserve">워크로드 → 동시성 </t>
    </r>
    <r>
      <rPr>
        <b val="true"/>
        <sz val="11"/>
        <color rgb="FF1F3864"/>
        <rFont val="Arial"/>
        <family val="0"/>
        <charset val="1"/>
      </rPr>
      <t xml:space="preserve">(</t>
    </r>
    <r>
      <rPr>
        <b val="true"/>
        <sz val="11"/>
        <color rgb="FF1F3864"/>
        <rFont val="나눔고딕"/>
        <family val="2"/>
        <charset val="129"/>
      </rPr>
      <t xml:space="preserve">가이드 </t>
    </r>
    <r>
      <rPr>
        <b val="true"/>
        <sz val="11"/>
        <color rgb="FF1F3864"/>
        <rFont val="Arial"/>
        <family val="0"/>
        <charset val="1"/>
      </rPr>
      <t xml:space="preserve">A2.1)</t>
    </r>
  </si>
  <si>
    <r>
      <rPr>
        <sz val="11"/>
        <rFont val="나눔고딕"/>
        <family val="2"/>
        <charset val="129"/>
      </rPr>
      <t xml:space="preserve">일 활성 사용자</t>
    </r>
    <r>
      <rPr>
        <sz val="11"/>
        <rFont val="Arial"/>
        <family val="0"/>
        <charset val="1"/>
      </rPr>
      <t xml:space="preserve">(DAU)</t>
    </r>
  </si>
  <si>
    <t xml:space="preserve">일 요청 수</t>
  </si>
  <si>
    <r>
      <rPr>
        <i val="true"/>
        <sz val="11"/>
        <color rgb="FF808080"/>
        <rFont val="나눔고딕"/>
        <family val="2"/>
        <charset val="129"/>
      </rPr>
      <t xml:space="preserve">건</t>
    </r>
    <r>
      <rPr>
        <i val="true"/>
        <sz val="11"/>
        <color rgb="FF808080"/>
        <rFont val="Arial"/>
        <family val="0"/>
        <charset val="1"/>
      </rPr>
      <t xml:space="preserve">/</t>
    </r>
    <r>
      <rPr>
        <i val="true"/>
        <sz val="11"/>
        <color rgb="FF808080"/>
        <rFont val="나눔고딕"/>
        <family val="2"/>
        <charset val="129"/>
      </rPr>
      <t xml:space="preserve">일</t>
    </r>
  </si>
  <si>
    <r>
      <rPr>
        <sz val="11"/>
        <rFont val="나눔고딕"/>
        <family val="2"/>
        <charset val="129"/>
      </rPr>
      <t xml:space="preserve">피크 </t>
    </r>
    <r>
      <rPr>
        <sz val="11"/>
        <rFont val="Arial"/>
        <family val="0"/>
        <charset val="1"/>
      </rPr>
      <t xml:space="preserve">QPS</t>
    </r>
  </si>
  <si>
    <t xml:space="preserve">req/s</t>
  </si>
  <si>
    <r>
      <rPr>
        <sz val="11"/>
        <rFont val="나눔고딕"/>
        <family val="2"/>
        <charset val="129"/>
      </rPr>
      <t xml:space="preserve">동시 요청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평균 피크</t>
    </r>
    <r>
      <rPr>
        <sz val="11"/>
        <rFont val="Arial"/>
        <family val="0"/>
        <charset val="1"/>
      </rPr>
      <t xml:space="preserve">)</t>
    </r>
  </si>
  <si>
    <t xml:space="preserve">설계 피크 동시성</t>
  </si>
  <si>
    <r>
      <rPr>
        <b val="true"/>
        <sz val="11"/>
        <color rgb="FF1F3864"/>
        <rFont val="Arial"/>
        <family val="0"/>
        <charset val="1"/>
      </rPr>
      <t xml:space="preserve">GPU </t>
    </r>
    <r>
      <rPr>
        <b val="true"/>
        <sz val="11"/>
        <color rgb="FF1F3864"/>
        <rFont val="나눔고딕"/>
        <family val="2"/>
        <charset val="129"/>
      </rPr>
      <t xml:space="preserve">메모리 </t>
    </r>
    <r>
      <rPr>
        <b val="true"/>
        <sz val="11"/>
        <color rgb="FF1F3864"/>
        <rFont val="Arial"/>
        <family val="0"/>
        <charset val="1"/>
      </rPr>
      <t xml:space="preserve">(</t>
    </r>
    <r>
      <rPr>
        <b val="true"/>
        <sz val="11"/>
        <color rgb="FF1F3864"/>
        <rFont val="나눔고딕"/>
        <family val="2"/>
        <charset val="129"/>
      </rPr>
      <t xml:space="preserve">가이드 </t>
    </r>
    <r>
      <rPr>
        <b val="true"/>
        <sz val="11"/>
        <color rgb="FF1F3864"/>
        <rFont val="Arial"/>
        <family val="0"/>
        <charset val="1"/>
      </rPr>
      <t xml:space="preserve">02)</t>
    </r>
  </si>
  <si>
    <t xml:space="preserve">가중치 메모리</t>
  </si>
  <si>
    <r>
      <rPr>
        <sz val="11"/>
        <rFont val="나눔고딕"/>
        <family val="2"/>
        <charset val="129"/>
      </rPr>
      <t xml:space="preserve">토큰당 </t>
    </r>
    <r>
      <rPr>
        <sz val="11"/>
        <rFont val="Arial"/>
        <family val="0"/>
        <charset val="1"/>
      </rPr>
      <t xml:space="preserve">KV</t>
    </r>
  </si>
  <si>
    <t xml:space="preserve">GB/tok</t>
  </si>
  <si>
    <r>
      <rPr>
        <sz val="11"/>
        <rFont val="나눔고딕"/>
        <family val="2"/>
        <charset val="129"/>
      </rPr>
      <t xml:space="preserve">요청당 </t>
    </r>
    <r>
      <rPr>
        <sz val="11"/>
        <rFont val="Arial"/>
        <family val="0"/>
        <charset val="1"/>
      </rPr>
      <t xml:space="preserve">KV</t>
    </r>
  </si>
  <si>
    <r>
      <rPr>
        <sz val="11"/>
        <rFont val="나눔고딕"/>
        <family val="2"/>
        <charset val="129"/>
      </rPr>
      <t xml:space="preserve">총 </t>
    </r>
    <r>
      <rPr>
        <sz val="11"/>
        <rFont val="Arial"/>
        <family val="0"/>
        <charset val="1"/>
      </rPr>
      <t xml:space="preserve">KV(</t>
    </r>
    <r>
      <rPr>
        <sz val="11"/>
        <rFont val="나눔고딕"/>
        <family val="2"/>
        <charset val="129"/>
      </rPr>
      <t xml:space="preserve">설계 동시성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</si>
  <si>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나눔고딕"/>
        <family val="2"/>
        <charset val="129"/>
      </rPr>
      <t xml:space="preserve">소요 </t>
    </r>
    <r>
      <rPr>
        <b val="true"/>
        <sz val="11"/>
        <rFont val="Arial"/>
        <family val="0"/>
        <charset val="1"/>
      </rPr>
      <t xml:space="preserve">VRAM(1 Replica</t>
    </r>
    <r>
      <rPr>
        <b val="true"/>
        <sz val="11"/>
        <rFont val="나눔고딕"/>
        <family val="2"/>
        <charset val="129"/>
      </rPr>
      <t xml:space="preserve">가 전체 동시성 수용 시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</si>
  <si>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나눔고딕"/>
        <family val="2"/>
        <charset val="129"/>
      </rPr>
      <t xml:space="preserve">가용 </t>
    </r>
    <r>
      <rPr>
        <sz val="11"/>
        <rFont val="Arial"/>
        <family val="0"/>
        <charset val="1"/>
      </rPr>
      <t xml:space="preserve">VRAM/Replica(gpr×GPU)</t>
    </r>
  </si>
  <si>
    <r>
      <rPr>
        <sz val="11"/>
        <rFont val="나눔고딕"/>
        <family val="2"/>
        <charset val="129"/>
      </rPr>
      <t xml:space="preserve">모델 적재 가능</t>
    </r>
    <r>
      <rPr>
        <sz val="11"/>
        <rFont val="Arial"/>
        <family val="0"/>
        <charset val="1"/>
      </rPr>
      <t xml:space="preserve">?(gpr </t>
    </r>
    <r>
      <rPr>
        <sz val="11"/>
        <rFont val="나눔고딕"/>
        <family val="2"/>
        <charset val="129"/>
      </rPr>
      <t xml:space="preserve">반영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</si>
  <si>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Replica</t>
    </r>
    <r>
      <rPr>
        <sz val="11"/>
        <rFont val="나눔고딕"/>
        <family val="2"/>
        <charset val="129"/>
      </rPr>
      <t xml:space="preserve">당 수용 동시성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메모리</t>
    </r>
    <r>
      <rPr>
        <sz val="11"/>
        <rFont val="Arial"/>
        <family val="0"/>
        <charset val="1"/>
      </rPr>
      <t xml:space="preserve">)</t>
    </r>
  </si>
  <si>
    <t xml:space="preserve">적재 점검</t>
  </si>
  <si>
    <r>
      <rPr>
        <b val="true"/>
        <sz val="11"/>
        <color rgb="FF1F3864"/>
        <rFont val="나눔고딕"/>
        <family val="2"/>
        <charset val="129"/>
      </rPr>
      <t xml:space="preserve">처리량 → </t>
    </r>
    <r>
      <rPr>
        <b val="true"/>
        <sz val="11"/>
        <color rgb="FF1F3864"/>
        <rFont val="Arial"/>
        <family val="0"/>
        <charset val="1"/>
      </rPr>
      <t xml:space="preserve">Replica → GPU (</t>
    </r>
    <r>
      <rPr>
        <b val="true"/>
        <sz val="11"/>
        <color rgb="FF1F3864"/>
        <rFont val="나눔고딕"/>
        <family val="2"/>
        <charset val="129"/>
      </rPr>
      <t xml:space="preserve">가이드 </t>
    </r>
    <r>
      <rPr>
        <b val="true"/>
        <sz val="11"/>
        <color rgb="FF1F3864"/>
        <rFont val="Arial"/>
        <family val="0"/>
        <charset val="1"/>
      </rPr>
      <t xml:space="preserve">02.5 / A1)</t>
    </r>
  </si>
  <si>
    <r>
      <rPr>
        <sz val="11"/>
        <rFont val="나눔고딕"/>
        <family val="2"/>
        <charset val="129"/>
      </rPr>
      <t xml:space="preserve">필요 출력 처리량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피크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</si>
  <si>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Replica(</t>
    </r>
    <r>
      <rPr>
        <sz val="11"/>
        <rFont val="나눔고딕"/>
        <family val="2"/>
        <charset val="129"/>
      </rPr>
      <t xml:space="preserve">처리량 기준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</si>
  <si>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Replica(</t>
    </r>
    <r>
      <rPr>
        <sz val="11"/>
        <rFont val="나눔고딕"/>
        <family val="2"/>
        <charset val="129"/>
      </rPr>
      <t xml:space="preserve">메모리 기준</t>
    </r>
    <r>
      <rPr>
        <sz val="11"/>
        <rFont val="Arial"/>
        <family val="0"/>
        <charset val="1"/>
      </rPr>
      <t xml:space="preserve">)</t>
    </r>
  </si>
  <si>
    <r>
      <rPr>
        <sz val="11"/>
        <rFont val="나눔고딕"/>
        <family val="2"/>
        <charset val="129"/>
      </rPr>
      <t xml:space="preserve">기본 </t>
    </r>
    <r>
      <rPr>
        <sz val="11"/>
        <rFont val="Arial"/>
        <family val="0"/>
        <charset val="1"/>
      </rPr>
      <t xml:space="preserve">Replica</t>
    </r>
  </si>
  <si>
    <r>
      <rPr>
        <sz val="11"/>
        <rFont val="나눔고딕"/>
        <family val="2"/>
        <charset val="129"/>
      </rPr>
      <t xml:space="preserve">총 추론 </t>
    </r>
    <r>
      <rPr>
        <sz val="11"/>
        <rFont val="Arial"/>
        <family val="0"/>
        <charset val="1"/>
      </rPr>
      <t xml:space="preserve">Replica(+N+1)</t>
    </r>
  </si>
  <si>
    <r>
      <rPr>
        <sz val="11"/>
        <rFont val="나눔고딕"/>
        <family val="2"/>
        <charset val="129"/>
      </rPr>
      <t xml:space="preserve">추론 </t>
    </r>
    <r>
      <rPr>
        <sz val="11"/>
        <rFont val="Arial"/>
        <family val="0"/>
        <charset val="1"/>
      </rPr>
      <t xml:space="preserve">GPU</t>
    </r>
  </si>
  <si>
    <r>
      <rPr>
        <b val="true"/>
        <sz val="11"/>
        <rFont val="나눔고딕"/>
        <family val="2"/>
        <charset val="129"/>
      </rPr>
      <t xml:space="preserve">총 </t>
    </r>
    <r>
      <rPr>
        <b val="true"/>
        <sz val="11"/>
        <rFont val="Arial"/>
        <family val="0"/>
        <charset val="1"/>
      </rPr>
      <t xml:space="preserve">GPU(</t>
    </r>
    <r>
      <rPr>
        <b val="true"/>
        <sz val="11"/>
        <rFont val="나눔고딕"/>
        <family val="2"/>
        <charset val="129"/>
      </rPr>
      <t xml:space="preserve">논리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</si>
  <si>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1F3864"/>
        <rFont val="나눔고딕"/>
        <family val="2"/>
        <charset val="129"/>
      </rPr>
      <t xml:space="preserve">노드 → 클러스터 </t>
    </r>
    <r>
      <rPr>
        <b val="true"/>
        <sz val="11"/>
        <color rgb="FF1F3864"/>
        <rFont val="Arial"/>
        <family val="0"/>
        <charset val="1"/>
      </rPr>
      <t xml:space="preserve">(</t>
    </r>
    <r>
      <rPr>
        <b val="true"/>
        <sz val="11"/>
        <color rgb="FF1F3864"/>
        <rFont val="나눔고딕"/>
        <family val="2"/>
        <charset val="129"/>
      </rPr>
      <t xml:space="preserve">가이드 </t>
    </r>
    <r>
      <rPr>
        <b val="true"/>
        <sz val="11"/>
        <color rgb="FF1F3864"/>
        <rFont val="Arial"/>
        <family val="0"/>
        <charset val="1"/>
      </rPr>
      <t xml:space="preserve">04)</t>
    </r>
  </si>
  <si>
    <r>
      <rPr>
        <sz val="11"/>
        <rFont val="Arial"/>
        <family val="0"/>
        <charset val="1"/>
      </rPr>
      <t xml:space="preserve">GPU </t>
    </r>
    <r>
      <rPr>
        <sz val="11"/>
        <rFont val="나눔고딕"/>
        <family val="2"/>
        <charset val="129"/>
      </rPr>
      <t xml:space="preserve">워커 노드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워크로드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</si>
  <si>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GPU </t>
    </r>
    <r>
      <rPr>
        <b val="true"/>
        <sz val="11"/>
        <rFont val="나눔고딕"/>
        <family val="2"/>
        <charset val="129"/>
      </rPr>
      <t xml:space="preserve">워커 노드</t>
    </r>
    <r>
      <rPr>
        <b val="true"/>
        <sz val="11"/>
        <rFont val="Arial"/>
        <family val="0"/>
        <charset val="1"/>
      </rPr>
      <t xml:space="preserve">(PAIF </t>
    </r>
    <r>
      <rPr>
        <b val="true"/>
        <sz val="11"/>
        <rFont val="나눔고딕"/>
        <family val="2"/>
        <charset val="129"/>
      </rPr>
      <t xml:space="preserve">최소 반영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</si>
  <si>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GPU </t>
    </r>
    <r>
      <rPr>
        <sz val="11"/>
        <rFont val="나눔고딕"/>
        <family val="2"/>
        <charset val="129"/>
      </rPr>
      <t xml:space="preserve">워커 노드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오토스케일 상한</t>
    </r>
    <r>
      <rPr>
        <sz val="11"/>
        <rFont val="Arial"/>
        <family val="0"/>
        <charset val="1"/>
      </rPr>
      <t xml:space="preserve">)</t>
    </r>
  </si>
  <si>
    <t xml:space="preserve">클러스터 노드 합계</t>
  </si>
  <si>
    <r>
      <rPr>
        <sz val="11"/>
        <rFont val="나눔고딕"/>
        <family val="2"/>
        <charset val="129"/>
      </rPr>
      <t xml:space="preserve">총 노드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전 클러스터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</si>
  <si>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color rgb="FF1F3864"/>
        <rFont val="나눔고딕"/>
        <family val="2"/>
        <charset val="129"/>
      </rPr>
      <t xml:space="preserve">스토리지 </t>
    </r>
    <r>
      <rPr>
        <b val="true"/>
        <sz val="11"/>
        <color rgb="FF1F3864"/>
        <rFont val="Arial"/>
        <family val="0"/>
        <charset val="1"/>
      </rPr>
      <t xml:space="preserve">(</t>
    </r>
    <r>
      <rPr>
        <b val="true"/>
        <sz val="11"/>
        <color rgb="FF1F3864"/>
        <rFont val="나눔고딕"/>
        <family val="2"/>
        <charset val="129"/>
      </rPr>
      <t xml:space="preserve">가이드 </t>
    </r>
    <r>
      <rPr>
        <b val="true"/>
        <sz val="11"/>
        <color rgb="FF1F3864"/>
        <rFont val="Arial"/>
        <family val="0"/>
        <charset val="1"/>
      </rPr>
      <t xml:space="preserve">05)</t>
    </r>
  </si>
  <si>
    <t xml:space="preserve">모델 아티팩트</t>
  </si>
  <si>
    <t xml:space="preserve">문서 코퍼스</t>
  </si>
  <si>
    <t xml:space="preserve">벡터 원시</t>
  </si>
  <si>
    <r>
      <rPr>
        <sz val="11"/>
        <rFont val="나눔고딕"/>
        <family val="2"/>
        <charset val="129"/>
      </rPr>
      <t xml:space="preserve">벡터 </t>
    </r>
    <r>
      <rPr>
        <sz val="11"/>
        <rFont val="Arial"/>
        <family val="0"/>
        <charset val="1"/>
      </rPr>
      <t xml:space="preserve">HNSW</t>
    </r>
  </si>
  <si>
    <t xml:space="preserve">벡터 인덱스 합</t>
  </si>
  <si>
    <t xml:space="preserve">논리 합계</t>
  </si>
  <si>
    <t xml:space="preserve">필요 가용 용량</t>
  </si>
  <si>
    <r>
      <rPr>
        <b val="true"/>
        <sz val="12"/>
        <color rgb="FFFFFFFF"/>
        <rFont val="Arial"/>
        <family val="0"/>
        <charset val="1"/>
      </rPr>
      <t xml:space="preserve">TCO </t>
    </r>
    <r>
      <rPr>
        <b val="true"/>
        <sz val="12"/>
        <color rgb="FFFFFFFF"/>
        <rFont val="나눔고딕"/>
        <family val="2"/>
        <charset val="129"/>
      </rPr>
      <t xml:space="preserve">골격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나눔고딕"/>
        <family val="2"/>
        <charset val="129"/>
      </rPr>
      <t xml:space="preserve">단가는 견적으로 — 부록 </t>
    </r>
    <r>
      <rPr>
        <b val="true"/>
        <sz val="12"/>
        <color rgb="FFFFFFFF"/>
        <rFont val="Arial"/>
        <family val="0"/>
        <charset val="1"/>
      </rPr>
      <t xml:space="preserve">A3)</t>
    </r>
  </si>
  <si>
    <t xml:space="preserve">라이선스 산정 입력</t>
  </si>
  <si>
    <r>
      <rPr>
        <sz val="11"/>
        <rFont val="나눔고딕"/>
        <family val="2"/>
        <charset val="129"/>
      </rPr>
      <t xml:space="preserve">코어</t>
    </r>
    <r>
      <rPr>
        <sz val="11"/>
        <rFont val="Arial"/>
        <family val="0"/>
        <charset val="1"/>
      </rPr>
      <t xml:space="preserve">/</t>
    </r>
    <r>
      <rPr>
        <sz val="11"/>
        <rFont val="나눔고딕"/>
        <family val="2"/>
        <charset val="129"/>
      </rPr>
      <t xml:space="preserve">호스트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최소수량 반영</t>
    </r>
    <r>
      <rPr>
        <sz val="11"/>
        <rFont val="Arial"/>
        <family val="0"/>
        <charset val="1"/>
      </rPr>
      <t xml:space="preserve">)</t>
    </r>
  </si>
  <si>
    <t xml:space="preserve">코어</t>
  </si>
  <si>
    <r>
      <rPr>
        <i val="true"/>
        <sz val="11"/>
        <color rgb="FF808080"/>
        <rFont val="Arial"/>
        <family val="0"/>
        <charset val="1"/>
      </rPr>
      <t xml:space="preserve">MAX(</t>
    </r>
    <r>
      <rPr>
        <i val="true"/>
        <sz val="11"/>
        <color rgb="FF808080"/>
        <rFont val="나눔고딕"/>
        <family val="2"/>
        <charset val="129"/>
      </rPr>
      <t xml:space="preserve">실제</t>
    </r>
    <r>
      <rPr>
        <i val="true"/>
        <sz val="11"/>
        <color rgb="FF808080"/>
        <rFont val="Arial"/>
        <family val="0"/>
        <charset val="1"/>
      </rPr>
      <t xml:space="preserve">, </t>
    </r>
    <r>
      <rPr>
        <i val="true"/>
        <sz val="11"/>
        <color rgb="FF808080"/>
        <rFont val="나눔고딕"/>
        <family val="2"/>
        <charset val="129"/>
      </rPr>
      <t xml:space="preserve">소켓</t>
    </r>
    <r>
      <rPr>
        <i val="true"/>
        <sz val="11"/>
        <color rgb="FF808080"/>
        <rFont val="Arial"/>
        <family val="0"/>
        <charset val="1"/>
      </rPr>
      <t xml:space="preserve">×</t>
    </r>
    <r>
      <rPr>
        <i val="true"/>
        <sz val="11"/>
        <color rgb="FF808080"/>
        <rFont val="나눔고딕"/>
        <family val="2"/>
        <charset val="129"/>
      </rPr>
      <t xml:space="preserve">최소수량</t>
    </r>
    <r>
      <rPr>
        <i val="true"/>
        <sz val="11"/>
        <color rgb="FF808080"/>
        <rFont val="Arial"/>
        <family val="0"/>
        <charset val="1"/>
      </rPr>
      <t xml:space="preserve">)</t>
    </r>
  </si>
  <si>
    <t xml:space="preserve">총 라이선스 코어</t>
  </si>
  <si>
    <r>
      <rPr>
        <i val="true"/>
        <sz val="11"/>
        <color rgb="FF808080"/>
        <rFont val="나눔고딕"/>
        <family val="2"/>
        <charset val="129"/>
      </rPr>
      <t xml:space="preserve">코어 최소수량 반영 </t>
    </r>
    <r>
      <rPr>
        <i val="true"/>
        <sz val="11"/>
        <color rgb="FF808080"/>
        <rFont val="Arial"/>
        <family val="0"/>
        <charset val="1"/>
      </rPr>
      <t xml:space="preserve">(07.2 / A3.1)</t>
    </r>
  </si>
  <si>
    <r>
      <rPr>
        <sz val="11"/>
        <rFont val="Arial"/>
        <family val="0"/>
        <charset val="1"/>
      </rPr>
      <t xml:space="preserve">NVAIE </t>
    </r>
    <r>
      <rPr>
        <sz val="11"/>
        <rFont val="나눔고딕"/>
        <family val="2"/>
        <charset val="129"/>
      </rPr>
      <t xml:space="preserve">대상 </t>
    </r>
    <r>
      <rPr>
        <sz val="11"/>
        <rFont val="Arial"/>
        <family val="0"/>
        <charset val="1"/>
      </rPr>
      <t xml:space="preserve">GPU</t>
    </r>
  </si>
  <si>
    <t xml:space="preserve">GPU</t>
  </si>
  <si>
    <r>
      <rPr>
        <i val="true"/>
        <sz val="11"/>
        <color rgb="FF808080"/>
        <rFont val="나눔고딕"/>
        <family val="2"/>
        <charset val="129"/>
      </rPr>
      <t xml:space="preserve">설치 물리 </t>
    </r>
    <r>
      <rPr>
        <i val="true"/>
        <sz val="11"/>
        <color rgb="FF808080"/>
        <rFont val="Arial"/>
        <family val="0"/>
        <charset val="1"/>
      </rPr>
      <t xml:space="preserve">GPU </t>
    </r>
    <r>
      <rPr>
        <i val="true"/>
        <sz val="11"/>
        <color rgb="FF808080"/>
        <rFont val="나눔고딕"/>
        <family val="2"/>
        <charset val="129"/>
      </rPr>
      <t xml:space="preserve">전수 </t>
    </r>
    <r>
      <rPr>
        <i val="true"/>
        <sz val="11"/>
        <color rgb="FF808080"/>
        <rFont val="Arial"/>
        <family val="0"/>
        <charset val="1"/>
      </rPr>
      <t xml:space="preserve">(07.2)</t>
    </r>
  </si>
  <si>
    <t xml:space="preserve">스토리지 필요 가용</t>
  </si>
  <si>
    <t xml:space="preserve">05.5</t>
  </si>
  <si>
    <r>
      <rPr>
        <b val="true"/>
        <sz val="11"/>
        <color rgb="FF1F3864"/>
        <rFont val="나눔고딕"/>
        <family val="2"/>
        <charset val="129"/>
      </rPr>
      <t xml:space="preserve">비용 항목 </t>
    </r>
    <r>
      <rPr>
        <b val="true"/>
        <sz val="11"/>
        <color rgb="FF1F3864"/>
        <rFont val="Arial"/>
        <family val="0"/>
        <charset val="1"/>
      </rPr>
      <t xml:space="preserve">(</t>
    </r>
    <r>
      <rPr>
        <b val="true"/>
        <sz val="11"/>
        <color rgb="FF1F3864"/>
        <rFont val="나눔고딕"/>
        <family val="2"/>
        <charset val="129"/>
      </rPr>
      <t xml:space="preserve">단가 칸을 견적으로 채우면 연 환산 자동</t>
    </r>
    <r>
      <rPr>
        <b val="true"/>
        <sz val="11"/>
        <color rgb="FF1F3864"/>
        <rFont val="Arial"/>
        <family val="0"/>
        <charset val="1"/>
      </rPr>
      <t xml:space="preserve">)</t>
    </r>
  </si>
  <si>
    <t xml:space="preserve">항목</t>
  </si>
  <si>
    <t xml:space="preserve">수량</t>
  </si>
  <si>
    <r>
      <rPr>
        <b val="true"/>
        <sz val="11"/>
        <rFont val="나눔고딕"/>
        <family val="2"/>
        <charset val="129"/>
      </rPr>
      <t xml:space="preserve">단가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나눔고딕"/>
        <family val="2"/>
        <charset val="129"/>
      </rPr>
      <t xml:space="preserve">견적 입력</t>
    </r>
    <r>
      <rPr>
        <b val="true"/>
        <sz val="11"/>
        <rFont val="Arial"/>
        <family val="0"/>
        <charset val="1"/>
      </rPr>
      <t xml:space="preserve">)</t>
    </r>
  </si>
  <si>
    <t xml:space="preserve">연 환산 소계</t>
  </si>
  <si>
    <r>
      <rPr>
        <sz val="11"/>
        <rFont val="Arial"/>
        <family val="0"/>
        <charset val="1"/>
      </rPr>
      <t xml:space="preserve">VCF </t>
    </r>
    <r>
      <rPr>
        <sz val="11"/>
        <rFont val="나눔고딕"/>
        <family val="2"/>
        <charset val="129"/>
      </rPr>
      <t xml:space="preserve">코어 구독</t>
    </r>
  </si>
  <si>
    <r>
      <rPr>
        <i val="true"/>
        <sz val="11"/>
        <color rgb="FF808080"/>
        <rFont val="나눔고딕"/>
        <family val="2"/>
        <charset val="129"/>
      </rPr>
      <t xml:space="preserve">코어</t>
    </r>
    <r>
      <rPr>
        <i val="true"/>
        <sz val="11"/>
        <color rgb="FF808080"/>
        <rFont val="Arial"/>
        <family val="0"/>
        <charset val="1"/>
      </rPr>
      <t xml:space="preserve">/</t>
    </r>
    <r>
      <rPr>
        <i val="true"/>
        <sz val="11"/>
        <color rgb="FF808080"/>
        <rFont val="나눔고딕"/>
        <family val="2"/>
        <charset val="129"/>
      </rPr>
      <t xml:space="preserve">년</t>
    </r>
    <r>
      <rPr>
        <i val="true"/>
        <sz val="11"/>
        <color rgb="FF808080"/>
        <rFont val="Arial"/>
        <family val="0"/>
        <charset val="1"/>
      </rPr>
      <t xml:space="preserve">, PAIF </t>
    </r>
    <r>
      <rPr>
        <i val="true"/>
        <sz val="11"/>
        <color rgb="FF808080"/>
        <rFont val="나눔고딕"/>
        <family val="2"/>
        <charset val="129"/>
      </rPr>
      <t xml:space="preserve">포함</t>
    </r>
    <r>
      <rPr>
        <i val="true"/>
        <sz val="11"/>
        <color rgb="FF808080"/>
        <rFont val="Arial"/>
        <family val="0"/>
        <charset val="1"/>
      </rPr>
      <t xml:space="preserve">(</t>
    </r>
    <r>
      <rPr>
        <i val="true"/>
        <sz val="11"/>
        <color rgb="FF808080"/>
        <rFont val="나눔고딕"/>
        <family val="2"/>
        <charset val="129"/>
      </rPr>
      <t xml:space="preserve">이중계상 금지</t>
    </r>
    <r>
      <rPr>
        <i val="true"/>
        <sz val="11"/>
        <color rgb="FF808080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</si>
  <si>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NVAIE(GPU</t>
    </r>
    <r>
      <rPr>
        <sz val="11"/>
        <rFont val="나눔고딕"/>
        <family val="2"/>
        <charset val="129"/>
      </rPr>
      <t xml:space="preserve">당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</si>
  <si>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808080"/>
        <rFont val="Arial"/>
        <family val="0"/>
        <charset val="1"/>
      </rPr>
      <t xml:space="preserve">GPU/</t>
    </r>
    <r>
      <rPr>
        <i val="true"/>
        <sz val="11"/>
        <color rgb="FF808080"/>
        <rFont val="나눔고딕"/>
        <family val="2"/>
        <charset val="129"/>
      </rPr>
      <t xml:space="preserve">년</t>
    </r>
    <r>
      <rPr>
        <i val="true"/>
        <sz val="11"/>
        <color rgb="FF808080"/>
        <rFont val="Arial"/>
        <family val="0"/>
        <charset val="1"/>
      </rPr>
      <t xml:space="preserve">, NVIDIA </t>
    </r>
    <r>
      <rPr>
        <i val="true"/>
        <sz val="11"/>
        <color rgb="FF808080"/>
        <rFont val="나눔고딕"/>
        <family val="2"/>
        <charset val="129"/>
      </rPr>
      <t xml:space="preserve">별도</t>
    </r>
  </si>
  <si>
    <t xml:space="preserve">DSM</t>
  </si>
  <si>
    <r>
      <rPr>
        <i val="true"/>
        <sz val="11"/>
        <color rgb="FF808080"/>
        <rFont val="Arial"/>
        <family val="0"/>
        <charset val="1"/>
      </rPr>
      <t xml:space="preserve">VCF entitlement (</t>
    </r>
    <r>
      <rPr>
        <i val="true"/>
        <sz val="11"/>
        <color rgb="FF808080"/>
        <rFont val="나눔고딕"/>
        <family val="2"/>
        <charset val="129"/>
      </rPr>
      <t xml:space="preserve">조건 </t>
    </r>
    <r>
      <rPr>
        <i val="true"/>
        <sz val="11"/>
        <color rgb="FF808080"/>
        <rFont val="Arial"/>
        <family val="0"/>
        <charset val="1"/>
      </rPr>
      <t xml:space="preserve">A3.1)</t>
    </r>
  </si>
  <si>
    <r>
      <rPr>
        <sz val="11"/>
        <rFont val="Arial"/>
        <family val="0"/>
        <charset val="1"/>
      </rPr>
      <t xml:space="preserve">GPU </t>
    </r>
    <r>
      <rPr>
        <sz val="11"/>
        <rFont val="나눔고딕"/>
        <family val="2"/>
        <charset val="129"/>
      </rPr>
      <t xml:space="preserve">하드웨어</t>
    </r>
  </si>
  <si>
    <r>
      <rPr>
        <i val="true"/>
        <sz val="11"/>
        <color rgb="FF808080"/>
        <rFont val="Arial"/>
        <family val="0"/>
        <charset val="1"/>
      </rPr>
      <t xml:space="preserve">÷ </t>
    </r>
    <r>
      <rPr>
        <i val="true"/>
        <sz val="11"/>
        <color rgb="FF808080"/>
        <rFont val="나눔고딕"/>
        <family val="2"/>
        <charset val="129"/>
      </rPr>
      <t xml:space="preserve">상각연수 </t>
    </r>
    <r>
      <rPr>
        <i val="true"/>
        <sz val="11"/>
        <color rgb="FF808080"/>
        <rFont val="Arial"/>
        <family val="0"/>
        <charset val="1"/>
      </rPr>
      <t xml:space="preserve">(07.3)</t>
    </r>
  </si>
  <si>
    <r>
      <rPr>
        <sz val="11"/>
        <rFont val="Arial"/>
        <family val="0"/>
        <charset val="1"/>
      </rPr>
      <t xml:space="preserve">GPU </t>
    </r>
    <r>
      <rPr>
        <sz val="11"/>
        <rFont val="나눔고딕"/>
        <family val="2"/>
        <charset val="129"/>
      </rPr>
      <t xml:space="preserve">서버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노드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</si>
  <si>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808080"/>
        <rFont val="Arial"/>
        <family val="0"/>
        <charset val="1"/>
      </rPr>
      <t xml:space="preserve">÷ </t>
    </r>
    <r>
      <rPr>
        <i val="true"/>
        <sz val="11"/>
        <color rgb="FF808080"/>
        <rFont val="나눔고딕"/>
        <family val="2"/>
        <charset val="129"/>
      </rPr>
      <t xml:space="preserve">상각연수</t>
    </r>
  </si>
  <si>
    <r>
      <rPr>
        <i val="true"/>
        <sz val="11"/>
        <color rgb="FF808080"/>
        <rFont val="Arial"/>
        <family val="0"/>
        <charset val="1"/>
      </rPr>
      <t xml:space="preserve">GB, vSAN </t>
    </r>
    <r>
      <rPr>
        <i val="true"/>
        <sz val="11"/>
        <color rgb="FF808080"/>
        <rFont val="나눔고딕"/>
        <family val="2"/>
        <charset val="129"/>
      </rPr>
      <t xml:space="preserve">등</t>
    </r>
  </si>
  <si>
    <r>
      <rPr>
        <sz val="11"/>
        <rFont val="나눔고딕"/>
        <family val="2"/>
        <charset val="129"/>
      </rPr>
      <t xml:space="preserve">네트워크</t>
    </r>
    <r>
      <rPr>
        <sz val="11"/>
        <rFont val="Arial"/>
        <family val="0"/>
        <charset val="1"/>
      </rPr>
      <t xml:space="preserve">/</t>
    </r>
    <r>
      <rPr>
        <sz val="11"/>
        <rFont val="나눔고딕"/>
        <family val="2"/>
        <charset val="129"/>
      </rPr>
      <t xml:space="preserve">스위치</t>
    </r>
  </si>
  <si>
    <r>
      <rPr>
        <i val="true"/>
        <sz val="11"/>
        <color rgb="FF808080"/>
        <rFont val="나눔고딕"/>
        <family val="2"/>
        <charset val="129"/>
      </rPr>
      <t xml:space="preserve">토폴로지 </t>
    </r>
    <r>
      <rPr>
        <i val="true"/>
        <sz val="11"/>
        <color rgb="FF808080"/>
        <rFont val="Arial"/>
        <family val="0"/>
        <charset val="1"/>
      </rPr>
      <t xml:space="preserve">(05.4)</t>
    </r>
  </si>
  <si>
    <r>
      <rPr>
        <sz val="11"/>
        <rFont val="나눔고딕"/>
        <family val="2"/>
        <charset val="129"/>
      </rPr>
      <t xml:space="preserve">전력</t>
    </r>
    <r>
      <rPr>
        <sz val="11"/>
        <rFont val="Arial"/>
        <family val="0"/>
        <charset val="1"/>
      </rPr>
      <t xml:space="preserve">(</t>
    </r>
    <r>
      <rPr>
        <sz val="11"/>
        <rFont val="나눔고딕"/>
        <family val="2"/>
        <charset val="129"/>
      </rPr>
      <t xml:space="preserve">연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</si>
  <si>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808080"/>
        <rFont val="Arial"/>
        <family val="0"/>
        <charset val="1"/>
      </rPr>
      <t xml:space="preserve">GPU </t>
    </r>
    <r>
      <rPr>
        <i val="true"/>
        <sz val="11"/>
        <color rgb="FF808080"/>
        <rFont val="나눔고딕"/>
        <family val="2"/>
        <charset val="129"/>
      </rPr>
      <t xml:space="preserve">전력</t>
    </r>
    <r>
      <rPr>
        <i val="true"/>
        <sz val="11"/>
        <color rgb="FF808080"/>
        <rFont val="Arial"/>
        <family val="0"/>
        <charset val="1"/>
      </rPr>
      <t xml:space="preserve">×PUE (07.5)</t>
    </r>
  </si>
  <si>
    <r>
      <rPr>
        <sz val="11"/>
        <rFont val="나눔고딕"/>
        <family val="2"/>
        <charset val="129"/>
      </rPr>
      <t xml:space="preserve">유지보수</t>
    </r>
    <r>
      <rPr>
        <sz val="11"/>
        <rFont val="Arial"/>
        <family val="0"/>
        <charset val="1"/>
      </rPr>
      <t xml:space="preserve">/</t>
    </r>
    <r>
      <rPr>
        <sz val="11"/>
        <rFont val="나눔고딕"/>
        <family val="2"/>
        <charset val="129"/>
      </rPr>
      <t xml:space="preserve">지원</t>
    </r>
  </si>
  <si>
    <t xml:space="preserve">계약</t>
  </si>
  <si>
    <r>
      <rPr>
        <sz val="11"/>
        <rFont val="나눔고딕"/>
        <family val="2"/>
        <charset val="129"/>
      </rPr>
      <t xml:space="preserve">도입</t>
    </r>
    <r>
      <rPr>
        <sz val="11"/>
        <rFont val="Arial"/>
        <family val="0"/>
        <charset val="1"/>
      </rPr>
      <t xml:space="preserve">/</t>
    </r>
    <r>
      <rPr>
        <sz val="11"/>
        <rFont val="나눔고딕"/>
        <family val="2"/>
        <charset val="129"/>
      </rPr>
      <t xml:space="preserve">마이그레이션</t>
    </r>
  </si>
  <si>
    <t xml:space="preserve">일회성</t>
  </si>
  <si>
    <r>
      <rPr>
        <i val="true"/>
        <sz val="11"/>
        <color rgb="FFC00000"/>
        <rFont val="나눔고딕"/>
        <family val="2"/>
        <charset val="129"/>
      </rPr>
      <t xml:space="preserve">단가</t>
    </r>
    <r>
      <rPr>
        <i val="true"/>
        <sz val="11"/>
        <color rgb="FFC00000"/>
        <rFont val="Arial"/>
        <family val="0"/>
        <charset val="1"/>
      </rPr>
      <t xml:space="preserve">(</t>
    </r>
    <r>
      <rPr>
        <i val="true"/>
        <sz val="11"/>
        <color rgb="FFC00000"/>
        <rFont val="나눔고딕"/>
        <family val="2"/>
        <charset val="129"/>
      </rPr>
      <t xml:space="preserve">노란 칸</t>
    </r>
    <r>
      <rPr>
        <i val="true"/>
        <sz val="11"/>
        <color rgb="FFC00000"/>
        <rFont val="Arial"/>
        <family val="0"/>
        <charset val="1"/>
      </rPr>
      <t xml:space="preserve">)</t>
    </r>
    <r>
      <rPr>
        <i val="true"/>
        <sz val="11"/>
        <color rgb="FFC00000"/>
        <rFont val="나눔고딕"/>
        <family val="2"/>
        <charset val="129"/>
      </rPr>
      <t xml:space="preserve">는 본 워크북이 제시하지 않습니다</t>
    </r>
    <r>
      <rPr>
        <i val="true"/>
        <sz val="11"/>
        <color rgb="FFC00000"/>
        <rFont val="Arial"/>
        <family val="0"/>
        <charset val="1"/>
      </rPr>
      <t xml:space="preserve">. </t>
    </r>
    <r>
      <rPr>
        <i val="true"/>
        <sz val="11"/>
        <color rgb="FFC00000"/>
        <rFont val="나눔고딕"/>
        <family val="2"/>
        <charset val="129"/>
      </rPr>
      <t xml:space="preserve">부록 </t>
    </r>
    <r>
      <rPr>
        <i val="true"/>
        <sz val="11"/>
        <color rgb="FFC00000"/>
        <rFont val="Arial"/>
        <family val="0"/>
        <charset val="1"/>
      </rPr>
      <t xml:space="preserve">A3 </t>
    </r>
    <r>
      <rPr>
        <i val="true"/>
        <sz val="11"/>
        <color rgb="FFC00000"/>
        <rFont val="나눔고딕"/>
        <family val="2"/>
        <charset val="129"/>
      </rPr>
      <t xml:space="preserve">견적 요청 체크리스트로 채우고 출처를 기록하세요</t>
    </r>
    <r>
      <rPr>
        <i val="true"/>
        <sz val="11"/>
        <color rgb="FFC00000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</si>
</sst>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"/>
    <numFmt numFmtId="167" formatCode="#,##0.00"/>
    <numFmt numFmtId="168" formatCode="#,##0.0"/>
    <numFmt numFmtId="169" formatCode="0.000000"/>
  </numFmts>
  <fonts count="24">
    <font>
      <sz val="11"/>
      <color theme="1"/>
      <name val="나눔고딕"/>
      <family val="2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b val="true"/>
      <sz val="12"/>
      <color rgb="FFFFFFFF"/>
      <name val="Arial"/>
      <family val="0"/>
      <charset val="1"/>
    </font>
    <font>
      <b val="true"/>
      <sz val="12"/>
      <color rgb="FFFFFFFF"/>
      <name val="나눔고딕"/>
      <family val="2"/>
      <charset val="129"/>
    </font>
    <font>
      <sz val="11"/>
      <color rgb="FF000000"/>
      <name val="나눔고딕"/>
      <family val="2"/>
      <charset val="129"/>
    </font>
    <font>
      <b val="true"/>
      <sz val="11"/>
      <color rgb="FF000000"/>
      <name val="나눔고딕"/>
      <family val="2"/>
      <charset val="129"/>
    </font>
    <font>
      <b val="true"/>
      <sz val="11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C00000"/>
      <name val="나눔고딕"/>
      <family val="2"/>
      <charset val="129"/>
    </font>
    <font>
      <sz val="11"/>
      <color rgb="FF000000"/>
      <name val="Arial"/>
      <family val="0"/>
      <charset val="1"/>
    </font>
    <font>
      <b val="true"/>
      <sz val="11"/>
      <color rgb="FF1F3864"/>
      <name val="나눔고딕"/>
      <family val="2"/>
      <charset val="129"/>
    </font>
    <font>
      <sz val="11"/>
      <name val="나눔고딕"/>
      <family val="2"/>
      <charset val="129"/>
    </font>
    <font>
      <b val="true"/>
      <sz val="11"/>
      <color rgb="FF0000FF"/>
      <name val="Arial"/>
      <family val="0"/>
      <charset val="1"/>
    </font>
    <font>
      <i val="true"/>
      <sz val="11"/>
      <color rgb="FF808080"/>
      <name val="나눔고딕"/>
      <family val="2"/>
      <charset val="129"/>
    </font>
    <font>
      <sz val="1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name val="나눔고딕"/>
      <family val="2"/>
      <charset val="129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1"/>
      <color rgb="FFC00000"/>
      <name val="나눔고딕"/>
      <family val="2"/>
      <charset val="129"/>
    </font>
    <font>
      <i val="true"/>
      <sz val="11"/>
      <color rgb="FFC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.67"/>
    <col collapsed="false" customWidth="true" hidden="false" outlineLevel="0" max="2" min="2" style="0" width="83.46"/>
  </cols>
  <sheetData>
    <row r="2" customFormat="false" ht="1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/>
    </row>
    <row r="5" customFormat="false" ht="15" hidden="false" customHeight="false" outlineLevel="0" collapsed="false">
      <c r="B5" s="3" t="s">
        <v>1</v>
      </c>
    </row>
    <row r="6" customFormat="false" ht="15" hidden="false" customHeight="false" outlineLevel="0" collapsed="false">
      <c r="B6" s="2"/>
    </row>
    <row r="7" customFormat="false" ht="15" hidden="false" customHeight="false" outlineLevel="0" collapsed="false">
      <c r="B7" s="4" t="s">
        <v>2</v>
      </c>
    </row>
    <row r="8" customFormat="false" ht="15" hidden="false" customHeight="false" outlineLevel="0" collapsed="false">
      <c r="B8" s="5" t="s">
        <v>3</v>
      </c>
    </row>
    <row r="9" customFormat="false" ht="15" hidden="false" customHeight="false" outlineLevel="0" collapsed="false">
      <c r="B9" s="5" t="s">
        <v>4</v>
      </c>
    </row>
    <row r="10" customFormat="false" ht="15" hidden="false" customHeight="false" outlineLevel="0" collapsed="false">
      <c r="B10" s="5" t="s">
        <v>5</v>
      </c>
    </row>
    <row r="11" customFormat="false" ht="15" hidden="false" customHeight="false" outlineLevel="0" collapsed="false">
      <c r="B11" s="2"/>
    </row>
    <row r="12" customFormat="false" ht="15" hidden="false" customHeight="false" outlineLevel="0" collapsed="false">
      <c r="B12" s="6" t="s">
        <v>6</v>
      </c>
    </row>
    <row r="13" customFormat="false" ht="15" hidden="false" customHeight="false" outlineLevel="0" collapsed="false">
      <c r="B13" s="5" t="s">
        <v>7</v>
      </c>
    </row>
    <row r="14" customFormat="false" ht="15" hidden="false" customHeight="false" outlineLevel="0" collapsed="false">
      <c r="B14" s="5" t="s">
        <v>8</v>
      </c>
    </row>
    <row r="15" customFormat="false" ht="15" hidden="false" customHeight="false" outlineLevel="0" collapsed="false">
      <c r="B15" s="5" t="s">
        <v>9</v>
      </c>
    </row>
    <row r="16" customFormat="false" ht="15" hidden="false" customHeight="false" outlineLevel="0" collapsed="false">
      <c r="B16" s="2"/>
    </row>
    <row r="17" customFormat="false" ht="15" hidden="false" customHeight="false" outlineLevel="0" collapsed="false">
      <c r="B17" s="6" t="s">
        <v>10</v>
      </c>
    </row>
    <row r="18" customFormat="false" ht="15" hidden="false" customHeight="false" outlineLevel="0" collapsed="false">
      <c r="B18" s="5" t="s">
        <v>11</v>
      </c>
    </row>
    <row r="19" customFormat="false" ht="15" hidden="false" customHeight="false" outlineLevel="0" collapsed="false">
      <c r="B19" s="5" t="s">
        <v>12</v>
      </c>
    </row>
    <row r="20" customFormat="false" ht="15" hidden="false" customHeight="false" outlineLevel="0" collapsed="false">
      <c r="B20" s="2"/>
    </row>
    <row r="21" customFormat="false" ht="15" hidden="false" customHeight="false" outlineLevel="0" collapsed="false">
      <c r="B21" s="6" t="s">
        <v>13</v>
      </c>
    </row>
    <row r="22" customFormat="false" ht="26.85" hidden="false" customHeight="false" outlineLevel="0" collapsed="false">
      <c r="B22" s="5" t="s">
        <v>14</v>
      </c>
    </row>
    <row r="23" customFormat="false" ht="15" hidden="false" customHeight="false" outlineLevel="0" collapsed="false">
      <c r="B23" s="5" t="s">
        <v>15</v>
      </c>
    </row>
    <row r="24" customFormat="false" ht="15" hidden="false" customHeight="false" outlineLevel="0" collapsed="false">
      <c r="B24" s="2"/>
    </row>
    <row r="25" customFormat="false" ht="15" hidden="false" customHeight="false" outlineLevel="0" collapsed="false">
      <c r="B25" s="6" t="s">
        <v>16</v>
      </c>
    </row>
    <row r="26" customFormat="false" ht="15" hidden="false" customHeight="false" outlineLevel="0" collapsed="false">
      <c r="B26" s="5" t="s">
        <v>17</v>
      </c>
    </row>
    <row r="27" customFormat="false" ht="15" hidden="false" customHeight="false" outlineLevel="0" collapsed="false">
      <c r="B27" s="2"/>
    </row>
    <row r="28" customFormat="false" ht="15" hidden="false" customHeight="false" outlineLevel="0" collapsed="false">
      <c r="B28" s="2" t="s">
        <v>18</v>
      </c>
    </row>
    <row r="29" customFormat="false" ht="15" hidden="false" customHeight="false" outlineLevel="0" collapsed="false">
      <c r="B29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.34"/>
    <col collapsed="false" customWidth="true" hidden="false" outlineLevel="0" max="2" min="2" style="0" width="28.38"/>
    <col collapsed="false" customWidth="true" hidden="false" outlineLevel="0" max="3" min="3" style="0" width="13.35"/>
    <col collapsed="false" customWidth="true" hidden="false" outlineLevel="0" max="4" min="4" style="0" width="10.02"/>
    <col collapsed="false" customWidth="true" hidden="false" outlineLevel="0" max="5" min="5" style="0" width="38.39"/>
  </cols>
  <sheetData>
    <row r="1" customFormat="false" ht="15" hidden="false" customHeight="false" outlineLevel="0" collapsed="false">
      <c r="B1" s="7" t="s">
        <v>20</v>
      </c>
      <c r="C1" s="8"/>
      <c r="D1" s="8"/>
      <c r="E1" s="8"/>
    </row>
    <row r="2" customFormat="false" ht="15" hidden="false" customHeight="false" outlineLevel="0" collapsed="false">
      <c r="A2" s="9" t="s">
        <v>21</v>
      </c>
      <c r="B2" s="10"/>
      <c r="C2" s="10"/>
      <c r="D2" s="10"/>
      <c r="E2" s="10"/>
    </row>
    <row r="3" customFormat="false" ht="15" hidden="false" customHeight="false" outlineLevel="0" collapsed="false">
      <c r="B3" s="11" t="s">
        <v>22</v>
      </c>
      <c r="C3" s="12" t="n">
        <v>5000</v>
      </c>
      <c r="D3" s="13" t="s">
        <v>23</v>
      </c>
      <c r="E3" s="13"/>
    </row>
    <row r="4" customFormat="false" ht="15" hidden="false" customHeight="false" outlineLevel="0" collapsed="false">
      <c r="B4" s="14" t="s">
        <v>24</v>
      </c>
      <c r="C4" s="15" t="n">
        <v>0.3</v>
      </c>
      <c r="D4" s="13"/>
      <c r="E4" s="13" t="s">
        <v>25</v>
      </c>
    </row>
    <row r="5" customFormat="false" ht="15" hidden="false" customHeight="false" outlineLevel="0" collapsed="false">
      <c r="B5" s="14" t="s">
        <v>26</v>
      </c>
      <c r="C5" s="12" t="n">
        <v>20</v>
      </c>
      <c r="D5" s="13" t="s">
        <v>27</v>
      </c>
      <c r="E5" s="16" t="s">
        <v>28</v>
      </c>
    </row>
    <row r="6" customFormat="false" ht="15" hidden="false" customHeight="false" outlineLevel="0" collapsed="false">
      <c r="B6" s="11" t="s">
        <v>29</v>
      </c>
      <c r="C6" s="12" t="n">
        <v>8</v>
      </c>
      <c r="D6" s="13" t="s">
        <v>30</v>
      </c>
      <c r="E6" s="13"/>
    </row>
    <row r="7" customFormat="false" ht="15" hidden="false" customHeight="false" outlineLevel="0" collapsed="false">
      <c r="B7" s="11" t="s">
        <v>31</v>
      </c>
      <c r="C7" s="12" t="n">
        <v>3</v>
      </c>
      <c r="D7" s="13"/>
      <c r="E7" s="16" t="s">
        <v>32</v>
      </c>
    </row>
    <row r="8" customFormat="false" ht="15" hidden="false" customHeight="false" outlineLevel="0" collapsed="false">
      <c r="B8" s="11" t="s">
        <v>33</v>
      </c>
      <c r="C8" s="12" t="n">
        <v>5</v>
      </c>
      <c r="D8" s="13" t="s">
        <v>34</v>
      </c>
      <c r="E8" s="16" t="s">
        <v>35</v>
      </c>
    </row>
    <row r="9" customFormat="false" ht="15" hidden="false" customHeight="false" outlineLevel="0" collapsed="false">
      <c r="B9" s="11" t="s">
        <v>36</v>
      </c>
      <c r="C9" s="15" t="n">
        <v>0.3</v>
      </c>
      <c r="D9" s="13"/>
      <c r="E9" s="16" t="s">
        <v>37</v>
      </c>
    </row>
    <row r="10" customFormat="false" ht="15" hidden="false" customHeight="false" outlineLevel="0" collapsed="false">
      <c r="A10" s="9" t="s">
        <v>38</v>
      </c>
      <c r="B10" s="10"/>
      <c r="C10" s="10"/>
      <c r="D10" s="10"/>
      <c r="E10" s="10"/>
    </row>
    <row r="11" customFormat="false" ht="15" hidden="false" customHeight="false" outlineLevel="0" collapsed="false">
      <c r="B11" s="11" t="s">
        <v>39</v>
      </c>
      <c r="C11" s="12" t="n">
        <v>8</v>
      </c>
      <c r="D11" s="16" t="s">
        <v>40</v>
      </c>
      <c r="E11" s="13"/>
    </row>
    <row r="12" customFormat="false" ht="15" hidden="false" customHeight="false" outlineLevel="0" collapsed="false">
      <c r="B12" s="11" t="s">
        <v>41</v>
      </c>
      <c r="C12" s="12" t="n">
        <v>2</v>
      </c>
      <c r="D12" s="16" t="s">
        <v>42</v>
      </c>
      <c r="E12" s="16" t="s">
        <v>43</v>
      </c>
    </row>
    <row r="13" customFormat="false" ht="15" hidden="false" customHeight="false" outlineLevel="0" collapsed="false">
      <c r="B13" s="11" t="s">
        <v>44</v>
      </c>
      <c r="C13" s="12" t="n">
        <v>32</v>
      </c>
      <c r="D13" s="13"/>
      <c r="E13" s="16" t="s">
        <v>45</v>
      </c>
    </row>
    <row r="14" customFormat="false" ht="15" hidden="false" customHeight="false" outlineLevel="0" collapsed="false">
      <c r="B14" s="14" t="s">
        <v>46</v>
      </c>
      <c r="C14" s="12" t="n">
        <v>8</v>
      </c>
      <c r="D14" s="13"/>
      <c r="E14" s="16" t="s">
        <v>47</v>
      </c>
    </row>
    <row r="15" customFormat="false" ht="15" hidden="false" customHeight="false" outlineLevel="0" collapsed="false">
      <c r="B15" s="14" t="s">
        <v>48</v>
      </c>
      <c r="C15" s="12" t="n">
        <v>128</v>
      </c>
      <c r="D15" s="13"/>
      <c r="E15" s="16" t="s">
        <v>49</v>
      </c>
    </row>
    <row r="16" customFormat="false" ht="15" hidden="false" customHeight="false" outlineLevel="0" collapsed="false">
      <c r="B16" s="14" t="s">
        <v>50</v>
      </c>
      <c r="C16" s="12" t="n">
        <v>2</v>
      </c>
      <c r="D16" s="16" t="s">
        <v>42</v>
      </c>
      <c r="E16" s="16" t="s">
        <v>51</v>
      </c>
    </row>
    <row r="17" customFormat="false" ht="15" hidden="false" customHeight="false" outlineLevel="0" collapsed="false">
      <c r="A17" s="9" t="s">
        <v>52</v>
      </c>
      <c r="B17" s="10"/>
      <c r="C17" s="10"/>
      <c r="D17" s="10"/>
      <c r="E17" s="10"/>
    </row>
    <row r="18" customFormat="false" ht="15" hidden="false" customHeight="false" outlineLevel="0" collapsed="false">
      <c r="B18" s="11" t="s">
        <v>53</v>
      </c>
      <c r="C18" s="12" t="n">
        <v>4096</v>
      </c>
      <c r="D18" s="16" t="s">
        <v>54</v>
      </c>
      <c r="E18" s="13"/>
    </row>
    <row r="19" customFormat="false" ht="15" hidden="false" customHeight="false" outlineLevel="0" collapsed="false">
      <c r="B19" s="11" t="s">
        <v>55</v>
      </c>
      <c r="C19" s="12" t="n">
        <v>500</v>
      </c>
      <c r="D19" s="16" t="s">
        <v>54</v>
      </c>
      <c r="E19" s="13"/>
    </row>
    <row r="20" customFormat="false" ht="15" hidden="false" customHeight="false" outlineLevel="0" collapsed="false">
      <c r="A20" s="17" t="s">
        <v>56</v>
      </c>
      <c r="B20" s="10"/>
      <c r="C20" s="10"/>
      <c r="D20" s="10"/>
      <c r="E20" s="10"/>
    </row>
    <row r="21" customFormat="false" ht="15" hidden="false" customHeight="false" outlineLevel="0" collapsed="false">
      <c r="B21" s="14" t="s">
        <v>57</v>
      </c>
      <c r="C21" s="12" t="n">
        <v>80</v>
      </c>
      <c r="D21" s="16" t="s">
        <v>58</v>
      </c>
      <c r="E21" s="13"/>
    </row>
    <row r="22" customFormat="false" ht="15" hidden="false" customHeight="false" outlineLevel="0" collapsed="false">
      <c r="B22" s="14" t="s">
        <v>59</v>
      </c>
      <c r="C22" s="15" t="n">
        <v>0.9</v>
      </c>
      <c r="D22" s="13"/>
      <c r="E22" s="16" t="s">
        <v>60</v>
      </c>
    </row>
    <row r="23" customFormat="false" ht="15" hidden="false" customHeight="false" outlineLevel="0" collapsed="false">
      <c r="B23" s="11" t="s">
        <v>61</v>
      </c>
      <c r="C23" s="12" t="n">
        <v>4</v>
      </c>
      <c r="D23" s="16" t="s">
        <v>58</v>
      </c>
      <c r="E23" s="13" t="s">
        <v>62</v>
      </c>
    </row>
    <row r="24" customFormat="false" ht="15" hidden="false" customHeight="false" outlineLevel="0" collapsed="false">
      <c r="B24" s="14" t="s">
        <v>63</v>
      </c>
      <c r="C24" s="18" t="n">
        <v>2000</v>
      </c>
      <c r="D24" s="16" t="s">
        <v>64</v>
      </c>
      <c r="E24" s="13" t="s">
        <v>65</v>
      </c>
    </row>
    <row r="25" customFormat="false" ht="15" hidden="false" customHeight="false" outlineLevel="0" collapsed="false">
      <c r="B25" s="14" t="s">
        <v>66</v>
      </c>
      <c r="C25" s="12" t="n">
        <v>1</v>
      </c>
      <c r="D25" s="13"/>
      <c r="E25" s="13" t="s">
        <v>67</v>
      </c>
    </row>
    <row r="26" customFormat="false" ht="15" hidden="false" customHeight="false" outlineLevel="0" collapsed="false">
      <c r="B26" s="11" t="s">
        <v>68</v>
      </c>
      <c r="C26" s="12" t="n">
        <v>1</v>
      </c>
      <c r="D26" s="13"/>
      <c r="E26" s="13"/>
    </row>
    <row r="27" customFormat="false" ht="15" hidden="false" customHeight="false" outlineLevel="0" collapsed="false">
      <c r="B27" s="11" t="s">
        <v>69</v>
      </c>
      <c r="C27" s="12" t="n">
        <v>1</v>
      </c>
      <c r="D27" s="13"/>
      <c r="E27" s="16" t="s">
        <v>70</v>
      </c>
    </row>
    <row r="28" customFormat="false" ht="15" hidden="false" customHeight="false" outlineLevel="0" collapsed="false">
      <c r="B28" s="11" t="s">
        <v>71</v>
      </c>
      <c r="C28" s="12" t="n">
        <v>1</v>
      </c>
      <c r="D28" s="13"/>
      <c r="E28" s="16" t="s">
        <v>72</v>
      </c>
    </row>
    <row r="29" customFormat="false" ht="15" hidden="false" customHeight="false" outlineLevel="0" collapsed="false">
      <c r="B29" s="11" t="s">
        <v>73</v>
      </c>
      <c r="C29" s="15" t="n">
        <v>0.2</v>
      </c>
      <c r="D29" s="13"/>
      <c r="E29" s="16" t="s">
        <v>74</v>
      </c>
    </row>
    <row r="30" customFormat="false" ht="15" hidden="false" customHeight="false" outlineLevel="0" collapsed="false">
      <c r="B30" s="14" t="s">
        <v>75</v>
      </c>
      <c r="C30" s="12" t="n">
        <v>3</v>
      </c>
      <c r="D30" s="13"/>
      <c r="E30" s="16" t="s">
        <v>76</v>
      </c>
    </row>
    <row r="31" customFormat="false" ht="15" hidden="false" customHeight="false" outlineLevel="0" collapsed="false">
      <c r="B31" s="11" t="s">
        <v>77</v>
      </c>
      <c r="C31" s="12" t="n">
        <v>3</v>
      </c>
      <c r="D31" s="13"/>
      <c r="E31" s="16" t="s">
        <v>78</v>
      </c>
    </row>
    <row r="32" customFormat="false" ht="15" hidden="false" customHeight="false" outlineLevel="0" collapsed="false">
      <c r="B32" s="11" t="s">
        <v>79</v>
      </c>
      <c r="C32" s="12" t="n">
        <v>3</v>
      </c>
      <c r="D32" s="13"/>
      <c r="E32" s="13" t="s">
        <v>80</v>
      </c>
    </row>
    <row r="33" customFormat="false" ht="15" hidden="false" customHeight="false" outlineLevel="0" collapsed="false">
      <c r="B33" s="11" t="s">
        <v>81</v>
      </c>
      <c r="C33" s="12" t="n">
        <v>1</v>
      </c>
      <c r="D33" s="13"/>
      <c r="E33" s="13" t="s">
        <v>82</v>
      </c>
    </row>
    <row r="34" customFormat="false" ht="15" hidden="false" customHeight="false" outlineLevel="0" collapsed="false">
      <c r="B34" s="14" t="s">
        <v>83</v>
      </c>
      <c r="C34" s="12" t="n">
        <v>500</v>
      </c>
      <c r="D34" s="13"/>
      <c r="E34" s="16" t="s">
        <v>84</v>
      </c>
    </row>
    <row r="35" customFormat="false" ht="15" hidden="false" customHeight="false" outlineLevel="0" collapsed="false">
      <c r="B35" s="14" t="s">
        <v>85</v>
      </c>
      <c r="C35" s="12" t="n">
        <v>4000</v>
      </c>
      <c r="D35" s="13"/>
      <c r="E35" s="16" t="s">
        <v>84</v>
      </c>
    </row>
    <row r="36" customFormat="false" ht="15" hidden="false" customHeight="false" outlineLevel="0" collapsed="false">
      <c r="A36" s="9" t="s">
        <v>86</v>
      </c>
      <c r="B36" s="10"/>
      <c r="C36" s="10"/>
      <c r="D36" s="10"/>
      <c r="E36" s="10"/>
    </row>
    <row r="37" customFormat="false" ht="15" hidden="false" customHeight="false" outlineLevel="0" collapsed="false">
      <c r="B37" s="11" t="s">
        <v>87</v>
      </c>
      <c r="C37" s="12" t="n">
        <v>3</v>
      </c>
      <c r="D37" s="13"/>
      <c r="E37" s="16" t="s">
        <v>88</v>
      </c>
    </row>
    <row r="38" customFormat="false" ht="15" hidden="false" customHeight="false" outlineLevel="0" collapsed="false">
      <c r="B38" s="14" t="s">
        <v>89</v>
      </c>
      <c r="C38" s="18" t="n">
        <v>50</v>
      </c>
      <c r="D38" s="16" t="s">
        <v>58</v>
      </c>
      <c r="E38" s="13" t="s">
        <v>90</v>
      </c>
    </row>
    <row r="39" customFormat="false" ht="15" hidden="false" customHeight="false" outlineLevel="0" collapsed="false">
      <c r="B39" s="11" t="s">
        <v>91</v>
      </c>
      <c r="C39" s="12" t="n">
        <v>100</v>
      </c>
      <c r="D39" s="16" t="s">
        <v>58</v>
      </c>
      <c r="E39" s="13"/>
    </row>
    <row r="40" customFormat="false" ht="15" hidden="false" customHeight="false" outlineLevel="0" collapsed="false">
      <c r="B40" s="11" t="s">
        <v>92</v>
      </c>
      <c r="C40" s="12" t="n">
        <v>1.5</v>
      </c>
      <c r="D40" s="13"/>
      <c r="E40" s="16" t="s">
        <v>88</v>
      </c>
    </row>
    <row r="41" customFormat="false" ht="15" hidden="false" customHeight="false" outlineLevel="0" collapsed="false">
      <c r="B41" s="11" t="s">
        <v>93</v>
      </c>
      <c r="C41" s="12" t="n">
        <v>5000000</v>
      </c>
      <c r="D41" s="13" t="s">
        <v>94</v>
      </c>
      <c r="E41" s="13"/>
    </row>
    <row r="42" customFormat="false" ht="15" hidden="false" customHeight="false" outlineLevel="0" collapsed="false">
      <c r="B42" s="11" t="s">
        <v>95</v>
      </c>
      <c r="C42" s="12" t="n">
        <v>1536</v>
      </c>
      <c r="D42" s="13"/>
      <c r="E42" s="16" t="s">
        <v>96</v>
      </c>
    </row>
    <row r="43" customFormat="false" ht="15" hidden="false" customHeight="false" outlineLevel="0" collapsed="false">
      <c r="B43" s="11" t="s">
        <v>97</v>
      </c>
      <c r="C43" s="12" t="n">
        <v>4</v>
      </c>
      <c r="D43" s="16" t="s">
        <v>42</v>
      </c>
      <c r="E43" s="16" t="s">
        <v>98</v>
      </c>
    </row>
    <row r="44" customFormat="false" ht="15" hidden="false" customHeight="false" outlineLevel="0" collapsed="false">
      <c r="B44" s="14" t="s">
        <v>99</v>
      </c>
      <c r="C44" s="12" t="n">
        <v>2</v>
      </c>
      <c r="D44" s="13"/>
      <c r="E44" s="16" t="s">
        <v>100</v>
      </c>
    </row>
    <row r="45" customFormat="false" ht="15" hidden="false" customHeight="false" outlineLevel="0" collapsed="false">
      <c r="B45" s="11" t="s">
        <v>101</v>
      </c>
      <c r="C45" s="12" t="n">
        <v>30</v>
      </c>
      <c r="D45" s="16" t="s">
        <v>58</v>
      </c>
      <c r="E45" s="13" t="s">
        <v>102</v>
      </c>
    </row>
    <row r="46" customFormat="false" ht="15" hidden="false" customHeight="false" outlineLevel="0" collapsed="false">
      <c r="B46" s="14" t="s">
        <v>103</v>
      </c>
      <c r="C46" s="12" t="n">
        <v>1.5</v>
      </c>
      <c r="D46" s="13"/>
      <c r="E46" s="16" t="s">
        <v>104</v>
      </c>
    </row>
    <row r="47" customFormat="false" ht="15" hidden="false" customHeight="false" outlineLevel="0" collapsed="false">
      <c r="B47" s="11" t="s">
        <v>105</v>
      </c>
      <c r="C47" s="12" t="n">
        <v>1</v>
      </c>
      <c r="D47" s="13"/>
      <c r="E47" s="13" t="s">
        <v>106</v>
      </c>
    </row>
    <row r="48" customFormat="false" ht="15" hidden="false" customHeight="false" outlineLevel="0" collapsed="false">
      <c r="A48" s="9" t="s">
        <v>107</v>
      </c>
      <c r="B48" s="10"/>
      <c r="C48" s="10"/>
      <c r="D48" s="10"/>
      <c r="E48" s="10"/>
    </row>
    <row r="49" customFormat="false" ht="15" hidden="false" customHeight="false" outlineLevel="0" collapsed="false">
      <c r="B49" s="11" t="s">
        <v>108</v>
      </c>
      <c r="C49" s="18" t="n">
        <v>3</v>
      </c>
      <c r="D49" s="13"/>
      <c r="E49" s="13" t="s">
        <v>109</v>
      </c>
    </row>
    <row r="50" customFormat="false" ht="15" hidden="false" customHeight="false" outlineLevel="0" collapsed="false">
      <c r="B50" s="11" t="s">
        <v>110</v>
      </c>
      <c r="C50" s="12" t="n">
        <v>64</v>
      </c>
      <c r="D50" s="13"/>
      <c r="E50" s="13" t="s">
        <v>111</v>
      </c>
    </row>
    <row r="51" customFormat="false" ht="15" hidden="false" customHeight="false" outlineLevel="0" collapsed="false">
      <c r="B51" s="11" t="s">
        <v>112</v>
      </c>
      <c r="C51" s="12" t="n">
        <v>2</v>
      </c>
      <c r="D51" s="13"/>
      <c r="E51" s="13" t="s">
        <v>111</v>
      </c>
    </row>
    <row r="52" customFormat="false" ht="15" hidden="false" customHeight="false" outlineLevel="0" collapsed="false">
      <c r="B52" s="11" t="s">
        <v>113</v>
      </c>
      <c r="C52" s="18" t="n">
        <v>16</v>
      </c>
      <c r="D52" s="13"/>
      <c r="E52" s="13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.34"/>
    <col collapsed="false" customWidth="true" hidden="false" outlineLevel="0" max="2" min="2" style="0" width="31.71"/>
    <col collapsed="false" customWidth="true" hidden="false" outlineLevel="0" max="3" min="3" style="0" width="15.02"/>
    <col collapsed="false" customWidth="true" hidden="false" outlineLevel="0" max="4" min="4" style="0" width="8.35"/>
    <col collapsed="false" customWidth="true" hidden="false" outlineLevel="0" max="5" min="5" style="0" width="38.39"/>
  </cols>
  <sheetData>
    <row r="1" customFormat="false" ht="15" hidden="false" customHeight="false" outlineLevel="0" collapsed="false">
      <c r="B1" s="7" t="s">
        <v>115</v>
      </c>
      <c r="C1" s="8"/>
      <c r="D1" s="8"/>
      <c r="E1" s="8"/>
    </row>
    <row r="2" customFormat="false" ht="15" hidden="false" customHeight="false" outlineLevel="0" collapsed="false">
      <c r="A2" s="9" t="s">
        <v>116</v>
      </c>
      <c r="B2" s="10"/>
      <c r="C2" s="10"/>
      <c r="D2" s="10"/>
      <c r="E2" s="10"/>
    </row>
    <row r="3" customFormat="false" ht="15" hidden="false" customHeight="false" outlineLevel="0" collapsed="false">
      <c r="B3" s="11" t="s">
        <v>117</v>
      </c>
      <c r="C3" s="19" t="n">
        <f aca="false">입력!C3*입력!C4</f>
        <v>1500</v>
      </c>
      <c r="D3" s="13" t="s">
        <v>23</v>
      </c>
      <c r="E3" s="13"/>
    </row>
    <row r="4" customFormat="false" ht="15" hidden="false" customHeight="false" outlineLevel="0" collapsed="false">
      <c r="B4" s="11" t="s">
        <v>118</v>
      </c>
      <c r="C4" s="19" t="n">
        <f aca="false">C3*입력!C5</f>
        <v>30000</v>
      </c>
      <c r="D4" s="13" t="s">
        <v>119</v>
      </c>
      <c r="E4" s="13"/>
    </row>
    <row r="5" customFormat="false" ht="15" hidden="false" customHeight="false" outlineLevel="0" collapsed="false">
      <c r="B5" s="11" t="s">
        <v>120</v>
      </c>
      <c r="C5" s="20" t="n">
        <f aca="false">C4/(입력!C6*3600)*입력!C7</f>
        <v>3.125</v>
      </c>
      <c r="D5" s="16" t="s">
        <v>121</v>
      </c>
      <c r="E5" s="13"/>
    </row>
    <row r="6" customFormat="false" ht="15" hidden="false" customHeight="false" outlineLevel="0" collapsed="false">
      <c r="B6" s="11" t="s">
        <v>122</v>
      </c>
      <c r="C6" s="21" t="n">
        <f aca="false">C5*입력!C8</f>
        <v>15.625</v>
      </c>
      <c r="D6" s="13"/>
      <c r="E6" s="13"/>
    </row>
    <row r="7" customFormat="false" ht="15" hidden="false" customHeight="false" outlineLevel="0" collapsed="false">
      <c r="B7" s="22" t="s">
        <v>123</v>
      </c>
      <c r="C7" s="23" t="n">
        <f aca="false">ROUNDUP(C6*(1+입력!C9),0)</f>
        <v>21</v>
      </c>
      <c r="D7" s="13"/>
      <c r="E7" s="13"/>
    </row>
    <row r="8" customFormat="false" ht="15" hidden="false" customHeight="false" outlineLevel="0" collapsed="false">
      <c r="A8" s="17" t="s">
        <v>124</v>
      </c>
      <c r="B8" s="10"/>
      <c r="C8" s="10"/>
      <c r="D8" s="10"/>
      <c r="E8" s="10"/>
    </row>
    <row r="9" customFormat="false" ht="15" hidden="false" customHeight="false" outlineLevel="0" collapsed="false">
      <c r="B9" s="11" t="s">
        <v>125</v>
      </c>
      <c r="C9" s="21" t="n">
        <f aca="false">입력!C11*입력!C12</f>
        <v>16</v>
      </c>
      <c r="D9" s="16" t="s">
        <v>58</v>
      </c>
      <c r="E9" s="13"/>
    </row>
    <row r="10" customFormat="false" ht="15" hidden="false" customHeight="false" outlineLevel="0" collapsed="false">
      <c r="B10" s="11" t="s">
        <v>126</v>
      </c>
      <c r="C10" s="24" t="n">
        <f aca="false">2*입력!C13*입력!C14*입력!C15*입력!C16/1073741824</f>
        <v>0.0001220703125</v>
      </c>
      <c r="D10" s="16" t="s">
        <v>127</v>
      </c>
      <c r="E10" s="13"/>
    </row>
    <row r="11" customFormat="false" ht="15" hidden="false" customHeight="false" outlineLevel="0" collapsed="false">
      <c r="B11" s="11" t="s">
        <v>128</v>
      </c>
      <c r="C11" s="21" t="n">
        <f aca="false">C10*입력!C18</f>
        <v>0.5</v>
      </c>
      <c r="D11" s="16" t="s">
        <v>58</v>
      </c>
      <c r="E11" s="13"/>
    </row>
    <row r="12" customFormat="false" ht="15" hidden="false" customHeight="false" outlineLevel="0" collapsed="false">
      <c r="B12" s="11" t="s">
        <v>129</v>
      </c>
      <c r="C12" s="21" t="n">
        <f aca="false">C11*C7</f>
        <v>10.5</v>
      </c>
      <c r="D12" s="16" t="s">
        <v>58</v>
      </c>
      <c r="E12" s="13"/>
    </row>
    <row r="13" customFormat="false" ht="15" hidden="false" customHeight="false" outlineLevel="0" collapsed="false">
      <c r="B13" s="22" t="s">
        <v>130</v>
      </c>
      <c r="C13" s="25" t="n">
        <f aca="false">C9+C12+입력!C23</f>
        <v>30.5</v>
      </c>
      <c r="D13" s="16" t="s">
        <v>58</v>
      </c>
      <c r="E13" s="13"/>
    </row>
    <row r="14" customFormat="false" ht="15" hidden="false" customHeight="false" outlineLevel="0" collapsed="false">
      <c r="B14" s="11" t="s">
        <v>131</v>
      </c>
      <c r="C14" s="21" t="n">
        <f aca="false">입력!C25*입력!C21*입력!C22</f>
        <v>72</v>
      </c>
      <c r="D14" s="16" t="s">
        <v>58</v>
      </c>
      <c r="E14" s="13"/>
    </row>
    <row r="15" customFormat="false" ht="15" hidden="false" customHeight="false" outlineLevel="0" collapsed="false">
      <c r="B15" s="11" t="s">
        <v>132</v>
      </c>
      <c r="C15" s="26" t="str">
        <f aca="false">IF(C9+입력!C23&lt;=C14,"예","아니오 → Replica당 GPU 늘리기/양자화")</f>
        <v>예</v>
      </c>
      <c r="D15" s="13"/>
      <c r="E15" s="13"/>
    </row>
    <row r="16" customFormat="false" ht="15" hidden="false" customHeight="false" outlineLevel="0" collapsed="false">
      <c r="B16" s="14" t="s">
        <v>133</v>
      </c>
      <c r="C16" s="19" t="n">
        <f aca="false">IF(C11&lt;=0,0,FLOOR(MAX(C14-C9-입력!C23,0)/C11,1))</f>
        <v>104</v>
      </c>
      <c r="D16" s="13"/>
      <c r="E16" s="13"/>
    </row>
    <row r="17" customFormat="false" ht="15" hidden="false" customHeight="false" outlineLevel="0" collapsed="false">
      <c r="B17" s="11" t="s">
        <v>134</v>
      </c>
      <c r="C17" s="26" t="str">
        <f aca="false">IF(C15="예",IF(C16&lt;=0,"KV 여유 없음 → Replica당 GPU 늘리기","정상"),"모델 미적재 → Replica당 GPU 늘리기")</f>
        <v>정상</v>
      </c>
      <c r="D17" s="13"/>
      <c r="E17" s="13"/>
    </row>
    <row r="18" customFormat="false" ht="15" hidden="false" customHeight="false" outlineLevel="0" collapsed="false">
      <c r="A18" s="9" t="s">
        <v>135</v>
      </c>
      <c r="B18" s="10"/>
      <c r="C18" s="10"/>
      <c r="D18" s="10"/>
      <c r="E18" s="10"/>
    </row>
    <row r="19" customFormat="false" ht="15" hidden="false" customHeight="false" outlineLevel="0" collapsed="false">
      <c r="B19" s="11" t="s">
        <v>136</v>
      </c>
      <c r="C19" s="19" t="n">
        <f aca="false">C5*입력!C19</f>
        <v>1562.5</v>
      </c>
      <c r="D19" s="16" t="s">
        <v>64</v>
      </c>
      <c r="E19" s="13"/>
    </row>
    <row r="20" customFormat="false" ht="15" hidden="false" customHeight="false" outlineLevel="0" collapsed="false">
      <c r="B20" s="14" t="s">
        <v>137</v>
      </c>
      <c r="C20" s="19" t="n">
        <f aca="false">ROUNDUP(C19/입력!C24,0)</f>
        <v>1</v>
      </c>
      <c r="D20" s="13"/>
      <c r="E20" s="13"/>
    </row>
    <row r="21" customFormat="false" ht="15" hidden="false" customHeight="false" outlineLevel="0" collapsed="false">
      <c r="B21" s="14" t="s">
        <v>138</v>
      </c>
      <c r="C21" s="19" t="n">
        <f aca="false">IF(C16&lt;=0,"적재불가",ROUNDUP(C7/C16,0))</f>
        <v>1</v>
      </c>
      <c r="D21" s="13"/>
      <c r="E21" s="13"/>
    </row>
    <row r="22" customFormat="false" ht="15" hidden="false" customHeight="false" outlineLevel="0" collapsed="false">
      <c r="B22" s="11" t="s">
        <v>139</v>
      </c>
      <c r="C22" s="19" t="n">
        <f aca="false">IF(C16&lt;=0,"적재불가",MAX(C20,C21,1))</f>
        <v>1</v>
      </c>
      <c r="D22" s="13"/>
      <c r="E22" s="13"/>
    </row>
    <row r="23" customFormat="false" ht="15" hidden="false" customHeight="false" outlineLevel="0" collapsed="false">
      <c r="B23" s="11" t="s">
        <v>140</v>
      </c>
      <c r="C23" s="19" t="n">
        <f aca="false">IF(ISNUMBER(C22),C22+입력!C26,"적재불가")</f>
        <v>2</v>
      </c>
      <c r="D23" s="13"/>
      <c r="E23" s="13"/>
    </row>
    <row r="24" customFormat="false" ht="15" hidden="false" customHeight="false" outlineLevel="0" collapsed="false">
      <c r="B24" s="11" t="s">
        <v>141</v>
      </c>
      <c r="C24" s="19" t="n">
        <f aca="false">IF(ISNUMBER(C23),C23*입력!C25,"적재불가")</f>
        <v>2</v>
      </c>
      <c r="D24" s="13"/>
      <c r="E24" s="13"/>
    </row>
    <row r="25" customFormat="false" ht="15" hidden="false" customHeight="false" outlineLevel="0" collapsed="false">
      <c r="B25" s="22" t="s">
        <v>142</v>
      </c>
      <c r="C25" s="23" t="n">
        <f aca="false">IF(ISNUMBER(C24),C24+입력!C27,"적재불가")</f>
        <v>3</v>
      </c>
      <c r="D25" s="13"/>
      <c r="E25" s="13"/>
    </row>
    <row r="26" customFormat="false" ht="15" hidden="false" customHeight="false" outlineLevel="0" collapsed="false">
      <c r="A26" s="9" t="s">
        <v>143</v>
      </c>
      <c r="B26" s="10"/>
      <c r="C26" s="10"/>
      <c r="D26" s="10"/>
      <c r="E26" s="10"/>
    </row>
    <row r="27" customFormat="false" ht="15" hidden="false" customHeight="false" outlineLevel="0" collapsed="false">
      <c r="B27" s="14" t="s">
        <v>144</v>
      </c>
      <c r="C27" s="19" t="n">
        <f aca="false">IF(ISNUMBER(C25),ROUNDUP(C25/입력!C28,0),"적재불가")</f>
        <v>3</v>
      </c>
      <c r="D27" s="13"/>
      <c r="E27" s="13"/>
    </row>
    <row r="28" customFormat="false" ht="15" hidden="false" customHeight="false" outlineLevel="0" collapsed="false">
      <c r="B28" s="27" t="s">
        <v>145</v>
      </c>
      <c r="C28" s="23" t="n">
        <f aca="false">IF(ISNUMBER(C27),MAX(C27,입력!C30),"적재불가")</f>
        <v>3</v>
      </c>
      <c r="D28" s="13"/>
      <c r="E28" s="13"/>
    </row>
    <row r="29" customFormat="false" ht="15" hidden="false" customHeight="false" outlineLevel="0" collapsed="false">
      <c r="B29" s="14" t="s">
        <v>146</v>
      </c>
      <c r="C29" s="19" t="n">
        <f aca="false">IF(ISNUMBER(C28),ROUNDUP(C28*(1+입력!C29),0),"적재불가")</f>
        <v>4</v>
      </c>
      <c r="D29" s="13"/>
      <c r="E29" s="13"/>
    </row>
    <row r="30" customFormat="false" ht="15" hidden="false" customHeight="false" outlineLevel="0" collapsed="false">
      <c r="B30" s="22" t="s">
        <v>147</v>
      </c>
      <c r="C30" s="23" t="n">
        <f aca="false">IF(ISNUMBER(C28),C28+입력!C31+입력!C32,"적재불가")</f>
        <v>9</v>
      </c>
      <c r="D30" s="13"/>
      <c r="E30" s="13"/>
    </row>
    <row r="31" customFormat="false" ht="15" hidden="false" customHeight="false" outlineLevel="0" collapsed="false">
      <c r="B31" s="11" t="s">
        <v>148</v>
      </c>
      <c r="C31" s="19" t="n">
        <f aca="false">IF(ISNUMBER(C30),C30*입력!C33,"적재불가")</f>
        <v>9</v>
      </c>
      <c r="D31" s="13"/>
      <c r="E31" s="13"/>
    </row>
    <row r="32" customFormat="false" ht="15" hidden="false" customHeight="false" outlineLevel="0" collapsed="false">
      <c r="B32" s="14" t="s">
        <v>83</v>
      </c>
      <c r="C32" s="26" t="str">
        <f aca="false">IF(입력!C33&lt;=입력!C34,"여유","초과")</f>
        <v>여유</v>
      </c>
      <c r="D32" s="13"/>
      <c r="E32" s="13"/>
    </row>
    <row r="33" customFormat="false" ht="15" hidden="false" customHeight="false" outlineLevel="0" collapsed="false">
      <c r="B33" s="14" t="s">
        <v>85</v>
      </c>
      <c r="C33" s="26" t="str">
        <f aca="false">IF(ISNUMBER(C31),IF(C31&lt;=입력!C35,"여유","초과"),"적재불가")</f>
        <v>여유</v>
      </c>
      <c r="D33" s="13"/>
      <c r="E33" s="13"/>
    </row>
    <row r="34" customFormat="false" ht="15" hidden="false" customHeight="false" outlineLevel="0" collapsed="false">
      <c r="A34" s="9" t="s">
        <v>149</v>
      </c>
      <c r="B34" s="10"/>
      <c r="C34" s="10"/>
      <c r="D34" s="10"/>
      <c r="E34" s="10"/>
    </row>
    <row r="35" customFormat="false" ht="15" hidden="false" customHeight="false" outlineLevel="0" collapsed="false">
      <c r="B35" s="11" t="s">
        <v>150</v>
      </c>
      <c r="C35" s="21" t="n">
        <f aca="false">C9*입력!C37</f>
        <v>48</v>
      </c>
      <c r="D35" s="16" t="s">
        <v>58</v>
      </c>
      <c r="E35" s="13"/>
    </row>
    <row r="36" customFormat="false" ht="15" hidden="false" customHeight="false" outlineLevel="0" collapsed="false">
      <c r="B36" s="11" t="s">
        <v>151</v>
      </c>
      <c r="C36" s="21" t="n">
        <f aca="false">입력!C39*입력!C40</f>
        <v>150</v>
      </c>
      <c r="D36" s="16" t="s">
        <v>58</v>
      </c>
      <c r="E36" s="13"/>
    </row>
    <row r="37" customFormat="false" ht="15" hidden="false" customHeight="false" outlineLevel="0" collapsed="false">
      <c r="B37" s="11" t="s">
        <v>152</v>
      </c>
      <c r="C37" s="21" t="n">
        <f aca="false">입력!C41*입력!C42*입력!C43/1073741824</f>
        <v>28.6102294921875</v>
      </c>
      <c r="D37" s="16" t="s">
        <v>58</v>
      </c>
      <c r="E37" s="13"/>
    </row>
    <row r="38" customFormat="false" ht="15" hidden="false" customHeight="false" outlineLevel="0" collapsed="false">
      <c r="B38" s="11" t="s">
        <v>153</v>
      </c>
      <c r="C38" s="21" t="n">
        <f aca="false">C37*입력!C44</f>
        <v>57.220458984375</v>
      </c>
      <c r="D38" s="16" t="s">
        <v>58</v>
      </c>
      <c r="E38" s="13"/>
    </row>
    <row r="39" customFormat="false" ht="15" hidden="false" customHeight="false" outlineLevel="0" collapsed="false">
      <c r="B39" s="11" t="s">
        <v>154</v>
      </c>
      <c r="C39" s="21" t="n">
        <f aca="false">C37+C38</f>
        <v>85.8306884765625</v>
      </c>
      <c r="D39" s="16" t="s">
        <v>58</v>
      </c>
      <c r="E39" s="13"/>
    </row>
    <row r="40" customFormat="false" ht="15" hidden="false" customHeight="false" outlineLevel="0" collapsed="false">
      <c r="B40" s="22" t="s">
        <v>155</v>
      </c>
      <c r="C40" s="25" t="n">
        <f aca="false">C35+입력!C38+C36+C39+입력!C45</f>
        <v>363.830688476563</v>
      </c>
      <c r="D40" s="16" t="s">
        <v>58</v>
      </c>
      <c r="E40" s="13"/>
    </row>
    <row r="41" customFormat="false" ht="15" hidden="false" customHeight="false" outlineLevel="0" collapsed="false">
      <c r="B41" s="22" t="s">
        <v>156</v>
      </c>
      <c r="C41" s="25" t="n">
        <f aca="false">C40*입력!C46/입력!C47</f>
        <v>545.746032714844</v>
      </c>
      <c r="D41" s="16" t="s">
        <v>58</v>
      </c>
      <c r="E41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.34"/>
    <col collapsed="false" customWidth="true" hidden="false" outlineLevel="0" max="2" min="2" style="0" width="25.04"/>
    <col collapsed="false" customWidth="true" hidden="false" outlineLevel="0" max="3" min="3" style="0" width="13.35"/>
    <col collapsed="false" customWidth="true" hidden="false" outlineLevel="0" max="4" min="4" style="0" width="15.02"/>
    <col collapsed="false" customWidth="true" hidden="false" outlineLevel="0" max="5" min="5" style="0" width="18.36"/>
    <col collapsed="false" customWidth="true" hidden="false" outlineLevel="0" max="6" min="6" style="0" width="25.04"/>
  </cols>
  <sheetData>
    <row r="1" customFormat="false" ht="15" hidden="false" customHeight="false" outlineLevel="0" collapsed="false">
      <c r="B1" s="1" t="s">
        <v>157</v>
      </c>
      <c r="C1" s="8"/>
      <c r="D1" s="8"/>
      <c r="E1" s="8"/>
      <c r="F1" s="8"/>
    </row>
    <row r="2" customFormat="false" ht="15" hidden="false" customHeight="false" outlineLevel="0" collapsed="false">
      <c r="A2" s="9" t="s">
        <v>158</v>
      </c>
      <c r="B2" s="10"/>
      <c r="C2" s="10"/>
      <c r="D2" s="10"/>
      <c r="E2" s="10"/>
    </row>
    <row r="3" customFormat="false" ht="15" hidden="false" customHeight="false" outlineLevel="0" collapsed="false">
      <c r="B3" s="11" t="s">
        <v>159</v>
      </c>
      <c r="C3" s="19" t="n">
        <f aca="false">MAX(입력!C50,입력!C51*입력!C52)</f>
        <v>64</v>
      </c>
      <c r="D3" s="13" t="s">
        <v>160</v>
      </c>
      <c r="E3" s="16" t="s">
        <v>161</v>
      </c>
    </row>
    <row r="4" customFormat="false" ht="15" hidden="false" customHeight="false" outlineLevel="0" collapsed="false">
      <c r="B4" s="11" t="s">
        <v>162</v>
      </c>
      <c r="C4" s="19" t="n">
        <f aca="false">입력!C49*C3</f>
        <v>192</v>
      </c>
      <c r="D4" s="13" t="s">
        <v>160</v>
      </c>
      <c r="E4" s="13" t="s">
        <v>163</v>
      </c>
    </row>
    <row r="5" customFormat="false" ht="15" hidden="false" customHeight="false" outlineLevel="0" collapsed="false">
      <c r="B5" s="14" t="s">
        <v>164</v>
      </c>
      <c r="C5" s="28" t="n">
        <f aca="false">IF(ISNUMBER(산정!C25),산정!C25,"적재불가")</f>
        <v>3</v>
      </c>
      <c r="D5" s="16" t="s">
        <v>165</v>
      </c>
      <c r="E5" s="13" t="s">
        <v>166</v>
      </c>
    </row>
    <row r="6" customFormat="false" ht="15" hidden="false" customHeight="false" outlineLevel="0" collapsed="false">
      <c r="B6" s="11" t="s">
        <v>167</v>
      </c>
      <c r="C6" s="28" t="n">
        <f aca="false">산정!C41</f>
        <v>545.746032714844</v>
      </c>
      <c r="D6" s="16" t="s">
        <v>58</v>
      </c>
      <c r="E6" s="16" t="s">
        <v>168</v>
      </c>
    </row>
    <row r="8" customFormat="false" ht="15" hidden="false" customHeight="false" outlineLevel="0" collapsed="false">
      <c r="A8" s="9" t="s">
        <v>169</v>
      </c>
      <c r="B8" s="10"/>
      <c r="C8" s="10"/>
      <c r="D8" s="10"/>
      <c r="E8" s="10"/>
    </row>
    <row r="9" customFormat="false" ht="15" hidden="false" customHeight="false" outlineLevel="0" collapsed="false">
      <c r="B9" s="29" t="s">
        <v>170</v>
      </c>
      <c r="C9" s="29" t="s">
        <v>171</v>
      </c>
      <c r="D9" s="29" t="s">
        <v>172</v>
      </c>
      <c r="E9" s="29" t="s">
        <v>173</v>
      </c>
    </row>
    <row r="10" customFormat="false" ht="15" hidden="false" customHeight="false" outlineLevel="0" collapsed="false">
      <c r="B10" s="14" t="s">
        <v>174</v>
      </c>
      <c r="C10" s="19" t="n">
        <f aca="false">C4</f>
        <v>192</v>
      </c>
      <c r="D10" s="30"/>
      <c r="E10" s="31" t="str">
        <f aca="false">IF(D10="","견적 입력 필요",IF(ISNUMBER(C10),C10*D10,"적재불가"))</f>
        <v>견적 입력 필요</v>
      </c>
      <c r="F10" s="13" t="s">
        <v>175</v>
      </c>
    </row>
    <row r="11" customFormat="false" ht="15" hidden="false" customHeight="false" outlineLevel="0" collapsed="false">
      <c r="B11" s="14" t="s">
        <v>176</v>
      </c>
      <c r="C11" s="19" t="n">
        <f aca="false">C5</f>
        <v>3</v>
      </c>
      <c r="D11" s="30"/>
      <c r="E11" s="31" t="str">
        <f aca="false">IF(D11="","견적 입력 필요",IF(ISNUMBER(C11),C11*D11,"적재불가"))</f>
        <v>견적 입력 필요</v>
      </c>
      <c r="F11" s="16" t="s">
        <v>177</v>
      </c>
    </row>
    <row r="12" customFormat="false" ht="15" hidden="false" customHeight="false" outlineLevel="0" collapsed="false">
      <c r="B12" s="14" t="s">
        <v>178</v>
      </c>
      <c r="C12" s="19" t="n">
        <f aca="false">1</f>
        <v>1</v>
      </c>
      <c r="D12" s="30"/>
      <c r="E12" s="31" t="str">
        <f aca="false">IF(D12="","견적 입력 필요",IF(ISNUMBER(C12),C12*D12,"적재불가"))</f>
        <v>견적 입력 필요</v>
      </c>
      <c r="F12" s="16" t="s">
        <v>179</v>
      </c>
    </row>
    <row r="13" customFormat="false" ht="15" hidden="false" customHeight="false" outlineLevel="0" collapsed="false">
      <c r="B13" s="14" t="s">
        <v>180</v>
      </c>
      <c r="C13" s="19" t="n">
        <f aca="false">C5</f>
        <v>3</v>
      </c>
      <c r="D13" s="30"/>
      <c r="E13" s="31" t="str">
        <f aca="false">IF(D13="","견적 입력 필요",IF(ISNUMBER(C13),C13*D13,"적재불가"))</f>
        <v>견적 입력 필요</v>
      </c>
      <c r="F13" s="16" t="s">
        <v>181</v>
      </c>
    </row>
    <row r="14" customFormat="false" ht="15" hidden="false" customHeight="false" outlineLevel="0" collapsed="false">
      <c r="B14" s="14" t="s">
        <v>182</v>
      </c>
      <c r="C14" s="19" t="n">
        <f aca="false">IF(ISNUMBER(산정!C30),산정!C30,"적재불가")</f>
        <v>9</v>
      </c>
      <c r="D14" s="30"/>
      <c r="E14" s="31" t="str">
        <f aca="false">IF(D14="","견적 입력 필요",IF(ISNUMBER(C14),C14*D14,"적재불가"))</f>
        <v>견적 입력 필요</v>
      </c>
      <c r="F14" s="16" t="s">
        <v>183</v>
      </c>
    </row>
    <row r="15" customFormat="false" ht="15" hidden="false" customHeight="false" outlineLevel="0" collapsed="false">
      <c r="B15" s="11" t="s">
        <v>86</v>
      </c>
      <c r="C15" s="19" t="n">
        <f aca="false">C6</f>
        <v>545.746032714844</v>
      </c>
      <c r="D15" s="30"/>
      <c r="E15" s="31" t="str">
        <f aca="false">IF(D15="","견적 입력 필요",IF(ISNUMBER(C15),C15*D15,"적재불가"))</f>
        <v>견적 입력 필요</v>
      </c>
      <c r="F15" s="16" t="s">
        <v>184</v>
      </c>
    </row>
    <row r="16" customFormat="false" ht="15" hidden="false" customHeight="false" outlineLevel="0" collapsed="false">
      <c r="B16" s="11" t="s">
        <v>185</v>
      </c>
      <c r="C16" s="19" t="n">
        <f aca="false">1</f>
        <v>1</v>
      </c>
      <c r="D16" s="30"/>
      <c r="E16" s="31" t="str">
        <f aca="false">IF(D16="","견적 입력 필요",IF(ISNUMBER(C16),C16*D16,"적재불가"))</f>
        <v>견적 입력 필요</v>
      </c>
      <c r="F16" s="13" t="s">
        <v>186</v>
      </c>
    </row>
    <row r="17" customFormat="false" ht="15" hidden="false" customHeight="false" outlineLevel="0" collapsed="false">
      <c r="B17" s="11" t="s">
        <v>187</v>
      </c>
      <c r="C17" s="19" t="n">
        <f aca="false">C5</f>
        <v>3</v>
      </c>
      <c r="D17" s="30"/>
      <c r="E17" s="31" t="str">
        <f aca="false">IF(D17="","견적 입력 필요",IF(ISNUMBER(C17),C17*D17,"적재불가"))</f>
        <v>견적 입력 필요</v>
      </c>
      <c r="F17" s="16" t="s">
        <v>188</v>
      </c>
    </row>
    <row r="18" customFormat="false" ht="15" hidden="false" customHeight="false" outlineLevel="0" collapsed="false">
      <c r="B18" s="11" t="s">
        <v>189</v>
      </c>
      <c r="C18" s="19" t="n">
        <f aca="false">1</f>
        <v>1</v>
      </c>
      <c r="D18" s="30"/>
      <c r="E18" s="31" t="str">
        <f aca="false">IF(D18="","견적 입력 필요",IF(ISNUMBER(C18),C18*D18,"적재불가"))</f>
        <v>견적 입력 필요</v>
      </c>
      <c r="F18" s="13" t="s">
        <v>190</v>
      </c>
    </row>
    <row r="19" customFormat="false" ht="15" hidden="false" customHeight="false" outlineLevel="0" collapsed="false">
      <c r="B19" s="11" t="s">
        <v>191</v>
      </c>
      <c r="C19" s="19" t="n">
        <f aca="false">1</f>
        <v>1</v>
      </c>
      <c r="D19" s="30"/>
      <c r="E19" s="31" t="str">
        <f aca="false">IF(D19="","견적 입력 필요",IF(ISNUMBER(C19),C19*D19,"적재불가"))</f>
        <v>견적 입력 필요</v>
      </c>
      <c r="F19" s="13" t="s">
        <v>192</v>
      </c>
    </row>
    <row r="21" customFormat="false" ht="15" hidden="false" customHeight="false" outlineLevel="0" collapsed="false">
      <c r="B21" s="32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2026-06-16T13:07:38Z</dcterms:created>
  <dc:creator>openpyxl</dc:creator>
  <dc:description/>
  <dc:language>ko-KR</dc:language>
  <cp:lastModifiedBy/>
  <dcterms:modified xsi:type="dcterms:W3CDTF">2026-06-16T13:07:38Z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