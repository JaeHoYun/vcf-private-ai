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산정" sheetId="3" state="visible" r:id="rId3"/>
    <sheet xmlns:r="http://schemas.openxmlformats.org/officeDocument/2006/relationships" name="TC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C00000"/>
      <sz val="11"/>
    </font>
    <font>
      <name val="Arial"/>
      <b val="1"/>
      <color rgb="001F3864"/>
    </font>
    <font>
      <name val="Arial"/>
    </font>
    <font>
      <name val="Arial"/>
      <b val="1"/>
      <color rgb="000000FF"/>
    </font>
    <font>
      <name val="Arial"/>
      <i val="1"/>
      <color rgb="00808080"/>
    </font>
    <font>
      <name val="Arial"/>
      <color rgb="00000000"/>
    </font>
    <font>
      <name val="Arial"/>
      <b val="1"/>
    </font>
    <font>
      <name val="Arial"/>
      <b val="1"/>
      <color rgb="00000000"/>
    </font>
    <font>
      <name val="Arial"/>
      <color rgb="00008000"/>
    </font>
    <font>
      <name val="Arial"/>
      <i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8" fillId="0" borderId="0" pivotButton="0" quotePrefix="0" xfId="0"/>
    <xf numFmtId="9" fontId="7" fillId="0" borderId="1" pivotButton="0" quotePrefix="0" xfId="0"/>
    <xf numFmtId="0" fontId="7" fillId="4" borderId="1" pivotButton="0" quotePrefix="0" xfId="0"/>
    <xf numFmtId="3" fontId="9" fillId="0" borderId="1" pivotButton="0" quotePrefix="0" xfId="0"/>
    <xf numFmtId="4" fontId="9" fillId="0" borderId="1" pivotButton="0" quotePrefix="0" xfId="0"/>
    <xf numFmtId="164" fontId="9" fillId="0" borderId="1" pivotButton="0" quotePrefix="0" xfId="0"/>
    <xf numFmtId="0" fontId="10" fillId="0" borderId="0" pivotButton="0" quotePrefix="0" xfId="0"/>
    <xf numFmtId="3" fontId="11" fillId="5" borderId="1" pivotButton="0" quotePrefix="0" xfId="0"/>
    <xf numFmtId="165" fontId="9" fillId="0" borderId="1" pivotButton="0" quotePrefix="0" xfId="0"/>
    <xf numFmtId="164" fontId="11" fillId="5" borderId="1" pivotButton="0" quotePrefix="0" xfId="0"/>
    <xf numFmtId="0" fontId="9" fillId="0" borderId="1" pivotButton="0" quotePrefix="0" xfId="0"/>
    <xf numFmtId="3" fontId="12" fillId="0" borderId="1" pivotButton="0" quotePrefix="0" xfId="0"/>
    <xf numFmtId="0" fontId="10" fillId="3" borderId="0" pivotButton="0" quotePrefix="0" xfId="0"/>
    <xf numFmtId="3" fontId="0" fillId="4" borderId="1" pivotButton="0" quotePrefix="0" xfId="0"/>
    <xf numFmtId="3" fontId="6" fillId="0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VCF Private AI 사이징·TCO 계산 워크북</t>
        </is>
      </c>
    </row>
    <row r="4">
      <c r="B4" s="2" t="inlineStr"/>
    </row>
    <row r="5">
      <c r="B5" s="3" t="inlineStr">
        <is>
          <t>목적: 입력값만 채우면 GPU·노드·클러스터·스토리지·TCO 골격이 수식으로 자동 산출됩니다.</t>
        </is>
      </c>
    </row>
    <row r="6">
      <c r="B6" s="2" t="inlineStr"/>
    </row>
    <row r="7">
      <c r="B7" s="4" t="inlineStr">
        <is>
          <t>[중요 — 반드시 읽으세요]</t>
        </is>
      </c>
    </row>
    <row r="8">
      <c r="B8" s="2" t="inlineStr">
        <is>
          <t>· 처리량·동시성 등 핵심 입력의 기본값은 '예산 추정 전용 1차 가정치'(부록 A1)이며, 구매 전 윤곽 산정용입니다.</t>
        </is>
      </c>
    </row>
    <row r="9">
      <c r="B9" s="2" t="inlineStr">
        <is>
          <t>· 확정 사이징은 PoC·부하시험 실측값으로 갈음해야 합니다(가이드 06.5).</t>
        </is>
      </c>
    </row>
    <row r="10">
      <c r="B10" s="2" t="inlineStr">
        <is>
          <t>· 단가(가격)는 제시하지 않습니다. TCO 시트의 단가 칸은 견적으로 채우세요(부록 A3).</t>
        </is>
      </c>
    </row>
    <row r="11">
      <c r="B11" s="2" t="inlineStr"/>
    </row>
    <row r="12">
      <c r="B12" s="3" t="inlineStr">
        <is>
          <t>[색상 약속]</t>
        </is>
      </c>
    </row>
    <row r="13">
      <c r="B13" s="2" t="inlineStr">
        <is>
          <t>· 파란 글씨 = 입력(여기를 바꿔 시나리오 조정)</t>
        </is>
      </c>
    </row>
    <row r="14">
      <c r="B14" s="2" t="inlineStr">
        <is>
          <t>· 검은 글씨 = 수식·계산(직접 수정 금지)</t>
        </is>
      </c>
    </row>
    <row r="15">
      <c r="B15" s="2" t="inlineStr">
        <is>
          <t>· 노란 배경 = 확인 필요 / 1차 가정치 / 견적 입력 칸</t>
        </is>
      </c>
    </row>
    <row r="16">
      <c r="B16" s="2" t="inlineStr"/>
    </row>
    <row r="17">
      <c r="B17" s="3" t="inlineStr">
        <is>
          <t>[사용법]</t>
        </is>
      </c>
    </row>
    <row r="18">
      <c r="B18" s="2" t="inlineStr">
        <is>
          <t>1) '입력' 시트의 파란 셀을 자사 값으로 변경  2) '산정'·'TCO' 시트에서 결과 확인</t>
        </is>
      </c>
    </row>
    <row r="19">
      <c r="B19" s="2" t="inlineStr">
        <is>
          <t>3) 파일을 Excel/LibreOffice로 열면 수식이 자동 재계산됩니다.</t>
        </is>
      </c>
    </row>
    <row r="20">
      <c r="B20" s="2" t="inlineStr"/>
    </row>
    <row r="21">
      <c r="B21" s="3" t="inlineStr">
        <is>
          <t>[적용 범위] 단일 모델을 (Replica당 GPU)×GPU 메모리에 적재하는 추론 워크로드용 1차 도구입니다.</t>
        </is>
      </c>
    </row>
    <row r="22">
      <c r="B22" s="2" t="inlineStr">
        <is>
          <t>· 모델이 단일 Replica에 안 들어가면 '산정' 시트가 '적재불가'로 표시됩니다 → 입력의 'Replica당 GPU'를 늘리세요.</t>
        </is>
      </c>
    </row>
    <row r="23">
      <c r="B23" s="2" t="inlineStr">
        <is>
          <t>· 다중 모델 동시 서빙·학습/파인튜닝·MIG 세부·멀티테넌트 합산은 범위 밖입니다.</t>
        </is>
      </c>
    </row>
    <row r="24">
      <c r="B24" s="2" t="inlineStr"/>
    </row>
    <row r="25">
      <c r="B25" s="3" t="inlineStr">
        <is>
          <t>[기본 예시] 사내 임직원 5,000명 한국어 문서 RAG 챗봇 → 산출: GPU 약 3장 / 9 노드 / 가용 약 0.6TB</t>
        </is>
      </c>
    </row>
    <row r="26">
      <c r="B26" s="2" t="inlineStr">
        <is>
          <t>(가이드 docs/08 레퍼런스 시나리오와 동일)</t>
        </is>
      </c>
    </row>
    <row r="27">
      <c r="B27" s="2" t="inlineStr"/>
    </row>
    <row r="28">
      <c r="B28" s="2" t="inlineStr">
        <is>
          <t>출처: https://github.com/JaeHoYun/vcf-private-ai/tree/main/06-sizing-cost  ·  라이선스 CC BY 4.0</t>
        </is>
      </c>
    </row>
    <row r="29">
      <c r="B29" s="2" t="inlineStr">
        <is>
          <t>비공식 문서 — 벤더 공식 입장 아님. 모든 수치는 어림이며 실측·견적으로 재확인 필요.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12" customWidth="1" min="4" max="4"/>
    <col width="46" customWidth="1" min="5" max="5"/>
  </cols>
  <sheetData>
    <row r="1">
      <c r="B1" s="1" t="inlineStr">
        <is>
          <t>입력값 (파란 셀을 변경)</t>
        </is>
      </c>
      <c r="C1" s="5" t="n"/>
      <c r="D1" s="5" t="n"/>
      <c r="E1" s="5" t="n"/>
    </row>
    <row r="2">
      <c r="A2" s="6" t="inlineStr">
        <is>
          <t>워크로드</t>
        </is>
      </c>
      <c r="B2" s="7" t="n"/>
      <c r="C2" s="7" t="n"/>
      <c r="D2" s="7" t="n"/>
      <c r="E2" s="7" t="n"/>
    </row>
    <row r="3">
      <c r="B3" s="8" t="inlineStr">
        <is>
          <t>대상 사용자 수</t>
        </is>
      </c>
      <c r="C3" s="9" t="n">
        <v>5000</v>
      </c>
      <c r="D3" s="10" t="inlineStr">
        <is>
          <t>명</t>
        </is>
      </c>
      <c r="E3" s="10" t="inlineStr"/>
    </row>
    <row r="4">
      <c r="B4" s="8" t="inlineStr">
        <is>
          <t>DAU 비율</t>
        </is>
      </c>
      <c r="C4" s="11" t="n">
        <v>0.3</v>
      </c>
      <c r="D4" s="10" t="inlineStr"/>
      <c r="E4" s="10" t="inlineStr">
        <is>
          <t>사내 도구 0.2~0.4 (A2)</t>
        </is>
      </c>
    </row>
    <row r="5">
      <c r="B5" s="8" t="inlineStr">
        <is>
          <t>1인당 일 질의</t>
        </is>
      </c>
      <c r="C5" s="9" t="n">
        <v>20</v>
      </c>
      <c r="D5" s="10" t="inlineStr">
        <is>
          <t>회</t>
        </is>
      </c>
      <c r="E5" s="10" t="inlineStr">
        <is>
          <t>A2 기본 5~20</t>
        </is>
      </c>
    </row>
    <row r="6">
      <c r="B6" s="8" t="inlineStr">
        <is>
          <t>업무시간</t>
        </is>
      </c>
      <c r="C6" s="9" t="n">
        <v>8</v>
      </c>
      <c r="D6" s="10" t="inlineStr">
        <is>
          <t>시간</t>
        </is>
      </c>
      <c r="E6" s="10" t="inlineStr"/>
    </row>
    <row r="7">
      <c r="B7" s="8" t="inlineStr">
        <is>
          <t>피크/평균비</t>
        </is>
      </c>
      <c r="C7" s="9" t="n">
        <v>3</v>
      </c>
      <c r="D7" s="10" t="inlineStr"/>
      <c r="E7" s="10" t="inlineStr">
        <is>
          <t>A2 기본 3</t>
        </is>
      </c>
    </row>
    <row r="8">
      <c r="B8" s="8" t="inlineStr">
        <is>
          <t>요청당 처리시간</t>
        </is>
      </c>
      <c r="C8" s="9" t="n">
        <v>5</v>
      </c>
      <c r="D8" s="10" t="inlineStr">
        <is>
          <t>초</t>
        </is>
      </c>
      <c r="E8" s="10" t="inlineStr">
        <is>
          <t>RAG 3~6 (A2)</t>
        </is>
      </c>
    </row>
    <row r="9">
      <c r="B9" s="8" t="inlineStr">
        <is>
          <t>버스트 헤드룸</t>
        </is>
      </c>
      <c r="C9" s="11" t="n">
        <v>0.3</v>
      </c>
      <c r="D9" s="10" t="inlineStr"/>
      <c r="E9" s="10" t="inlineStr">
        <is>
          <t>A2</t>
        </is>
      </c>
    </row>
    <row r="10">
      <c r="A10" s="6" t="inlineStr">
        <is>
          <t>모델</t>
        </is>
      </c>
      <c r="B10" s="7" t="n"/>
      <c r="C10" s="7" t="n"/>
      <c r="D10" s="7" t="n"/>
      <c r="E10" s="7" t="n"/>
    </row>
    <row r="11">
      <c r="B11" s="8" t="inlineStr">
        <is>
          <t>파라미터 수</t>
        </is>
      </c>
      <c r="C11" s="9" t="n">
        <v>8</v>
      </c>
      <c r="D11" s="10" t="inlineStr">
        <is>
          <t>B(십억)</t>
        </is>
      </c>
      <c r="E11" s="10" t="inlineStr"/>
    </row>
    <row r="12">
      <c r="B12" s="8" t="inlineStr">
        <is>
          <t>정밀도 바이트/param</t>
        </is>
      </c>
      <c r="C12" s="9" t="n">
        <v>2</v>
      </c>
      <c r="D12" s="10" t="inlineStr">
        <is>
          <t>byte</t>
        </is>
      </c>
      <c r="E12" s="10" t="inlineStr">
        <is>
          <t>FP16=2 (02.2)</t>
        </is>
      </c>
    </row>
    <row r="13">
      <c r="B13" s="8" t="inlineStr">
        <is>
          <t>레이어 수</t>
        </is>
      </c>
      <c r="C13" s="9" t="n">
        <v>32</v>
      </c>
      <c r="D13" s="10" t="inlineStr"/>
      <c r="E13" s="10" t="inlineStr">
        <is>
          <t>config.json (A2.5)</t>
        </is>
      </c>
    </row>
    <row r="14">
      <c r="B14" s="8" t="inlineStr">
        <is>
          <t>KV 헤드 수</t>
        </is>
      </c>
      <c r="C14" s="9" t="n">
        <v>8</v>
      </c>
      <c r="D14" s="10" t="inlineStr"/>
      <c r="E14" s="10" t="inlineStr">
        <is>
          <t>GQA면 어텐션헤드보다 작음 (A2.5)</t>
        </is>
      </c>
    </row>
    <row r="15">
      <c r="B15" s="8" t="inlineStr">
        <is>
          <t>head_dim</t>
        </is>
      </c>
      <c r="C15" s="9" t="n">
        <v>128</v>
      </c>
      <c r="D15" s="10" t="inlineStr"/>
      <c r="E15" s="10" t="inlineStr">
        <is>
          <t>A2.5</t>
        </is>
      </c>
    </row>
    <row r="16">
      <c r="B16" s="8" t="inlineStr">
        <is>
          <t>KV 정밀도 바이트</t>
        </is>
      </c>
      <c r="C16" s="9" t="n">
        <v>2</v>
      </c>
      <c r="D16" s="10" t="inlineStr">
        <is>
          <t>byte</t>
        </is>
      </c>
      <c r="E16" s="10" t="inlineStr">
        <is>
          <t>FP8 KV면 1</t>
        </is>
      </c>
    </row>
    <row r="17">
      <c r="A17" s="6" t="inlineStr">
        <is>
          <t>컨텍스트</t>
        </is>
      </c>
      <c r="B17" s="7" t="n"/>
      <c r="C17" s="7" t="n"/>
      <c r="D17" s="7" t="n"/>
      <c r="E17" s="7" t="n"/>
    </row>
    <row r="18">
      <c r="B18" s="8" t="inlineStr">
        <is>
          <t>컨텍스트 토큰(입력+출력)</t>
        </is>
      </c>
      <c r="C18" s="9" t="n">
        <v>4096</v>
      </c>
      <c r="D18" s="10" t="inlineStr">
        <is>
          <t>tok</t>
        </is>
      </c>
      <c r="E18" s="10" t="inlineStr"/>
    </row>
    <row r="19">
      <c r="B19" s="8" t="inlineStr">
        <is>
          <t>평균 출력 토큰</t>
        </is>
      </c>
      <c r="C19" s="9" t="n">
        <v>500</v>
      </c>
      <c r="D19" s="10" t="inlineStr">
        <is>
          <t>tok</t>
        </is>
      </c>
      <c r="E19" s="10" t="inlineStr"/>
    </row>
    <row r="20">
      <c r="A20" s="6" t="inlineStr">
        <is>
          <t>GPU·노드 사양</t>
        </is>
      </c>
      <c r="B20" s="7" t="n"/>
      <c r="C20" s="7" t="n"/>
      <c r="D20" s="7" t="n"/>
      <c r="E20" s="7" t="n"/>
    </row>
    <row r="21">
      <c r="B21" s="8" t="inlineStr">
        <is>
          <t>GPU 메모리</t>
        </is>
      </c>
      <c r="C21" s="9" t="n">
        <v>80</v>
      </c>
      <c r="D21" s="10" t="inlineStr">
        <is>
          <t>GB</t>
        </is>
      </c>
      <c r="E21" s="10" t="inlineStr"/>
    </row>
    <row r="22">
      <c r="B22" s="8" t="inlineStr">
        <is>
          <t>gpu_memory_utilization</t>
        </is>
      </c>
      <c r="C22" s="11" t="n">
        <v>0.9</v>
      </c>
      <c r="D22" s="10" t="inlineStr"/>
      <c r="E22" s="10" t="inlineStr">
        <is>
          <t>vLLM 기본 0.9 (02.1)</t>
        </is>
      </c>
    </row>
    <row r="23">
      <c r="B23" s="8" t="inlineStr">
        <is>
          <t>활성화·오버헤드</t>
        </is>
      </c>
      <c r="C23" s="9" t="n">
        <v>4</v>
      </c>
      <c r="D23" s="10" t="inlineStr">
        <is>
          <t>GB</t>
        </is>
      </c>
      <c r="E23" s="10" t="inlineStr">
        <is>
          <t>어림</t>
        </is>
      </c>
    </row>
    <row r="24">
      <c r="B24" s="8" t="inlineStr">
        <is>
          <t>[A1] 1차 처리량 가정(단일 GPU)</t>
        </is>
      </c>
      <c r="C24" s="12" t="n">
        <v>2000</v>
      </c>
      <c r="D24" s="10" t="inlineStr">
        <is>
          <t>tok/s</t>
        </is>
      </c>
      <c r="E24" s="10" t="inlineStr">
        <is>
          <t>예산 추정 전용·실측 갈음 (A1.1)</t>
        </is>
      </c>
    </row>
    <row r="25">
      <c r="B25" s="8" t="inlineStr">
        <is>
          <t>Replica당 GPU</t>
        </is>
      </c>
      <c r="C25" s="9" t="n">
        <v>1</v>
      </c>
      <c r="D25" s="10" t="inlineStr"/>
      <c r="E25" s="10" t="inlineStr">
        <is>
          <t>텐서 병렬 GPU 수. 가용 VRAM=이 값×GPU메모리. 8B=1, 70B FP16=4 등</t>
        </is>
      </c>
    </row>
    <row r="26">
      <c r="B26" s="8" t="inlineStr">
        <is>
          <t>가용성 추가 Replica(N+1)</t>
        </is>
      </c>
      <c r="C26" s="9" t="n">
        <v>1</v>
      </c>
      <c r="D26" s="10" t="inlineStr"/>
      <c r="E26" s="10" t="inlineStr"/>
    </row>
    <row r="27">
      <c r="B27" s="8" t="inlineStr">
        <is>
          <t>임베딩·리랭커 GPU</t>
        </is>
      </c>
      <c r="C27" s="9" t="n">
        <v>1</v>
      </c>
      <c r="D27" s="10" t="inlineStr"/>
      <c r="E27" s="10" t="inlineStr">
        <is>
          <t>A1.2 / 03.5</t>
        </is>
      </c>
    </row>
    <row r="28">
      <c r="B28" s="8" t="inlineStr">
        <is>
          <t>노드당 GPU</t>
        </is>
      </c>
      <c r="C28" s="9" t="n">
        <v>1</v>
      </c>
      <c r="D28" s="10" t="inlineStr"/>
      <c r="E28" s="10" t="inlineStr">
        <is>
          <t>many-small (04.3)</t>
        </is>
      </c>
    </row>
    <row r="29">
      <c r="B29" s="8" t="inlineStr">
        <is>
          <t>노드 헤드룸(오토스케일)</t>
        </is>
      </c>
      <c r="C29" s="11" t="n">
        <v>0.2</v>
      </c>
      <c r="D29" s="10" t="inlineStr"/>
      <c r="E29" s="10" t="inlineStr">
        <is>
          <t>04.4</t>
        </is>
      </c>
    </row>
    <row r="30">
      <c r="B30" s="8" t="inlineStr">
        <is>
          <t>PAIF 최소 GPU 호스트</t>
        </is>
      </c>
      <c r="C30" s="9" t="n">
        <v>3</v>
      </c>
      <c r="D30" s="10" t="inlineStr"/>
      <c r="E30" s="10" t="inlineStr">
        <is>
          <t>01.1 / 03.2</t>
        </is>
      </c>
    </row>
    <row r="31">
      <c r="B31" s="8" t="inlineStr">
        <is>
          <t>일반 워커 노드</t>
        </is>
      </c>
      <c r="C31" s="9" t="n">
        <v>3</v>
      </c>
      <c r="D31" s="10" t="inlineStr"/>
      <c r="E31" s="10" t="inlineStr">
        <is>
          <t>HA</t>
        </is>
      </c>
    </row>
    <row r="32">
      <c r="B32" s="8" t="inlineStr">
        <is>
          <t>컨트롤 플레인 노드</t>
        </is>
      </c>
      <c r="C32" s="9" t="n">
        <v>3</v>
      </c>
      <c r="D32" s="10" t="inlineStr"/>
      <c r="E32" s="10" t="inlineStr">
        <is>
          <t>홀수 HA (04.1)</t>
        </is>
      </c>
    </row>
    <row r="33">
      <c r="B33" s="8" t="inlineStr">
        <is>
          <t>클러스터 수</t>
        </is>
      </c>
      <c r="C33" s="9" t="n">
        <v>1</v>
      </c>
      <c r="D33" s="10" t="inlineStr"/>
      <c r="E33" s="10" t="inlineStr">
        <is>
          <t>격리 요구 시 증가 (04.5)</t>
        </is>
      </c>
    </row>
    <row r="34">
      <c r="B34" s="8" t="inlineStr">
        <is>
          <t>Supervisor 클러스터 한도</t>
        </is>
      </c>
      <c r="C34" s="9" t="n">
        <v>500</v>
      </c>
      <c r="D34" s="10" t="inlineStr"/>
      <c r="E34" s="10" t="inlineStr">
        <is>
          <t>VKS 3.6 (04.5)</t>
        </is>
      </c>
    </row>
    <row r="35">
      <c r="B35" s="8" t="inlineStr">
        <is>
          <t>Supervisor 노드 한도</t>
        </is>
      </c>
      <c r="C35" s="9" t="n">
        <v>4000</v>
      </c>
      <c r="D35" s="10" t="inlineStr"/>
      <c r="E35" s="10" t="inlineStr">
        <is>
          <t>VKS 3.6 (04.5)</t>
        </is>
      </c>
    </row>
    <row r="36">
      <c r="A36" s="6" t="inlineStr">
        <is>
          <t>스토리지</t>
        </is>
      </c>
      <c r="B36" s="7" t="n"/>
      <c r="C36" s="7" t="n"/>
      <c r="D36" s="7" t="n"/>
      <c r="E36" s="7" t="n"/>
    </row>
    <row r="37">
      <c r="B37" s="8" t="inlineStr">
        <is>
          <t>모델 보존 버전 수</t>
        </is>
      </c>
      <c r="C37" s="9" t="n">
        <v>3</v>
      </c>
      <c r="D37" s="10" t="inlineStr"/>
      <c r="E37" s="10" t="inlineStr">
        <is>
          <t>05.1</t>
        </is>
      </c>
    </row>
    <row r="38">
      <c r="B38" s="8" t="inlineStr">
        <is>
          <t>NIM 컨테이너 이미지</t>
        </is>
      </c>
      <c r="C38" s="12" t="n">
        <v>50</v>
      </c>
      <c r="D38" s="10" t="inlineStr">
        <is>
          <t>GB</t>
        </is>
      </c>
      <c r="E38" s="10" t="inlineStr">
        <is>
          <t>확인 필요</t>
        </is>
      </c>
    </row>
    <row r="39">
      <c r="B39" s="8" t="inlineStr">
        <is>
          <t>문서 코퍼스 원문</t>
        </is>
      </c>
      <c r="C39" s="9" t="n">
        <v>100</v>
      </c>
      <c r="D39" s="10" t="inlineStr">
        <is>
          <t>GB</t>
        </is>
      </c>
      <c r="E39" s="10" t="inlineStr"/>
    </row>
    <row r="40">
      <c r="B40" s="8" t="inlineStr">
        <is>
          <t>전처리 배수</t>
        </is>
      </c>
      <c r="C40" s="9" t="n">
        <v>1.5</v>
      </c>
      <c r="D40" s="10" t="inlineStr"/>
      <c r="E40" s="10" t="inlineStr">
        <is>
          <t>05.1</t>
        </is>
      </c>
    </row>
    <row r="41">
      <c r="B41" s="8" t="inlineStr">
        <is>
          <t>벡터 수</t>
        </is>
      </c>
      <c r="C41" s="9" t="n">
        <v>5000000</v>
      </c>
      <c r="D41" s="10" t="inlineStr">
        <is>
          <t>건</t>
        </is>
      </c>
      <c r="E41" s="10" t="inlineStr"/>
    </row>
    <row r="42">
      <c r="B42" s="8" t="inlineStr">
        <is>
          <t>벡터 차원</t>
        </is>
      </c>
      <c r="C42" s="9" t="n">
        <v>1536</v>
      </c>
      <c r="D42" s="10" t="inlineStr"/>
      <c r="E42" s="10" t="inlineStr">
        <is>
          <t>05.2</t>
        </is>
      </c>
    </row>
    <row r="43">
      <c r="B43" s="8" t="inlineStr">
        <is>
          <t>벡터 float 바이트</t>
        </is>
      </c>
      <c r="C43" s="9" t="n">
        <v>4</v>
      </c>
      <c r="D43" s="10" t="inlineStr">
        <is>
          <t>byte</t>
        </is>
      </c>
      <c r="E43" s="10" t="inlineStr">
        <is>
          <t>pgvector float32</t>
        </is>
      </c>
    </row>
    <row r="44">
      <c r="B44" s="8" t="inlineStr">
        <is>
          <t>HNSW 배수</t>
        </is>
      </c>
      <c r="C44" s="9" t="n">
        <v>2</v>
      </c>
      <c r="D44" s="10" t="inlineStr"/>
      <c r="E44" s="10" t="inlineStr">
        <is>
          <t>1.5~3 (05.2)</t>
        </is>
      </c>
    </row>
    <row r="45">
      <c r="B45" s="8" t="inlineStr">
        <is>
          <t>로그·관측(90일)</t>
        </is>
      </c>
      <c r="C45" s="9" t="n">
        <v>30</v>
      </c>
      <c r="D45" s="10" t="inlineStr">
        <is>
          <t>GB</t>
        </is>
      </c>
      <c r="E45" s="10" t="inlineStr">
        <is>
          <t>보존 의존</t>
        </is>
      </c>
    </row>
    <row r="46">
      <c r="B46" s="8" t="inlineStr">
        <is>
          <t>vSAN 보호 오버헤드 배수</t>
        </is>
      </c>
      <c r="C46" s="9" t="n">
        <v>1.5</v>
      </c>
      <c r="D46" s="10" t="inlineStr"/>
      <c r="E46" s="10" t="inlineStr">
        <is>
          <t>Auto-RAID (05.3)</t>
        </is>
      </c>
    </row>
    <row r="47">
      <c r="B47" s="8" t="inlineStr">
        <is>
          <t>압축·중복제거 절감 배수</t>
        </is>
      </c>
      <c r="C47" s="9" t="n">
        <v>1</v>
      </c>
      <c r="D47" s="10" t="inlineStr"/>
      <c r="E47" s="10" t="inlineStr">
        <is>
          <t>보수적 1.0 (05.3)</t>
        </is>
      </c>
    </row>
    <row r="48">
      <c r="A48" s="6" t="inlineStr">
        <is>
          <t>라이선스</t>
        </is>
      </c>
      <c r="B48" s="7" t="n"/>
      <c r="C48" s="7" t="n"/>
      <c r="D48" s="7" t="n"/>
      <c r="E48" s="7" t="n"/>
    </row>
    <row r="49">
      <c r="B49" s="8" t="inlineStr">
        <is>
          <t>라이선스 대상 물리 호스트 수</t>
        </is>
      </c>
      <c r="C49" s="12" t="n">
        <v>3</v>
      </c>
      <c r="D49" s="10" t="inlineStr"/>
      <c r="E49" s="10" t="inlineStr">
        <is>
          <t>확인 필요 — 도메인 호스트 수 (A3)</t>
        </is>
      </c>
    </row>
    <row r="50">
      <c r="B50" s="8" t="inlineStr">
        <is>
          <t>호스트당 물리 코어</t>
        </is>
      </c>
      <c r="C50" s="9" t="n">
        <v>64</v>
      </c>
      <c r="D50" s="10" t="inlineStr"/>
      <c r="E50" s="10" t="inlineStr">
        <is>
          <t>예시</t>
        </is>
      </c>
    </row>
    <row r="51">
      <c r="B51" s="8" t="inlineStr">
        <is>
          <t>호스트당 소켓 수</t>
        </is>
      </c>
      <c r="C51" s="9" t="n">
        <v>2</v>
      </c>
      <c r="D51" s="10" t="inlineStr"/>
      <c r="E51" s="10" t="inlineStr">
        <is>
          <t>예시</t>
        </is>
      </c>
    </row>
    <row r="52">
      <c r="B52" s="8" t="inlineStr">
        <is>
          <t>소켓당 코어 최소수량</t>
        </is>
      </c>
      <c r="C52" s="12" t="n">
        <v>16</v>
      </c>
      <c r="D52" s="10" t="inlineStr"/>
      <c r="E52" s="10" t="inlineStr">
        <is>
          <t>확인 필요 — A3 견적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10" customWidth="1" min="4" max="4"/>
    <col width="46" customWidth="1" min="5" max="5"/>
  </cols>
  <sheetData>
    <row r="1">
      <c r="B1" s="1" t="inlineStr">
        <is>
          <t>사이징 산정 (검은 셀 = 수식, 수정 금지)</t>
        </is>
      </c>
      <c r="C1" s="5" t="n"/>
      <c r="D1" s="5" t="n"/>
      <c r="E1" s="5" t="n"/>
    </row>
    <row r="2">
      <c r="A2" s="6" t="inlineStr">
        <is>
          <t>워크로드 → 동시성 (가이드 A2.1)</t>
        </is>
      </c>
      <c r="B2" s="7" t="n"/>
      <c r="C2" s="7" t="n"/>
      <c r="D2" s="7" t="n"/>
      <c r="E2" s="7" t="n"/>
    </row>
    <row r="3">
      <c r="B3" s="8" t="inlineStr">
        <is>
          <t>일 활성 사용자(DAU)</t>
        </is>
      </c>
      <c r="C3" s="13">
        <f>'입력'!C3*'입력'!C4</f>
        <v/>
      </c>
      <c r="D3" s="10" t="inlineStr">
        <is>
          <t>명</t>
        </is>
      </c>
      <c r="E3" s="10" t="inlineStr"/>
    </row>
    <row r="4">
      <c r="B4" s="8" t="inlineStr">
        <is>
          <t>일 요청 수</t>
        </is>
      </c>
      <c r="C4" s="13">
        <f>C3*'입력'!C5</f>
        <v/>
      </c>
      <c r="D4" s="10" t="inlineStr">
        <is>
          <t>건/일</t>
        </is>
      </c>
      <c r="E4" s="10" t="inlineStr"/>
    </row>
    <row r="5">
      <c r="B5" s="8" t="inlineStr">
        <is>
          <t>피크 QPS</t>
        </is>
      </c>
      <c r="C5" s="14">
        <f>C4/('입력'!C6*3600)*'입력'!C7</f>
        <v/>
      </c>
      <c r="D5" s="10" t="inlineStr">
        <is>
          <t>req/s</t>
        </is>
      </c>
      <c r="E5" s="10" t="inlineStr"/>
    </row>
    <row r="6">
      <c r="B6" s="8" t="inlineStr">
        <is>
          <t>동시 요청(평균 피크)</t>
        </is>
      </c>
      <c r="C6" s="15">
        <f>C5*'입력'!C8</f>
        <v/>
      </c>
      <c r="D6" s="10" t="inlineStr"/>
      <c r="E6" s="10" t="inlineStr"/>
    </row>
    <row r="7">
      <c r="B7" s="16" t="inlineStr">
        <is>
          <t>설계 피크 동시성</t>
        </is>
      </c>
      <c r="C7" s="17">
        <f>ROUNDUP(C6*(1+'입력'!C9),0)</f>
        <v/>
      </c>
      <c r="D7" s="10" t="inlineStr"/>
      <c r="E7" s="10" t="inlineStr"/>
    </row>
    <row r="8">
      <c r="A8" s="6" t="inlineStr">
        <is>
          <t>GPU 메모리 (가이드 02)</t>
        </is>
      </c>
      <c r="B8" s="7" t="n"/>
      <c r="C8" s="7" t="n"/>
      <c r="D8" s="7" t="n"/>
      <c r="E8" s="7" t="n"/>
    </row>
    <row r="9">
      <c r="B9" s="8" t="inlineStr">
        <is>
          <t>가중치 메모리</t>
        </is>
      </c>
      <c r="C9" s="15">
        <f>'입력'!C11*'입력'!C12</f>
        <v/>
      </c>
      <c r="D9" s="10" t="inlineStr">
        <is>
          <t>GB</t>
        </is>
      </c>
      <c r="E9" s="10" t="inlineStr"/>
    </row>
    <row r="10">
      <c r="B10" s="8" t="inlineStr">
        <is>
          <t>토큰당 KV</t>
        </is>
      </c>
      <c r="C10" s="18">
        <f>2*'입력'!C13*'입력'!C14*'입력'!C15*'입력'!C16/1073741824</f>
        <v/>
      </c>
      <c r="D10" s="10" t="inlineStr">
        <is>
          <t>GB/tok</t>
        </is>
      </c>
      <c r="E10" s="10" t="inlineStr"/>
    </row>
    <row r="11">
      <c r="B11" s="8" t="inlineStr">
        <is>
          <t>요청당 KV</t>
        </is>
      </c>
      <c r="C11" s="15">
        <f>C10*'입력'!C18</f>
        <v/>
      </c>
      <c r="D11" s="10" t="inlineStr">
        <is>
          <t>GB</t>
        </is>
      </c>
      <c r="E11" s="10" t="inlineStr"/>
    </row>
    <row r="12">
      <c r="B12" s="8" t="inlineStr">
        <is>
          <t>총 KV(설계 동시성)</t>
        </is>
      </c>
      <c r="C12" s="15">
        <f>C11*C7</f>
        <v/>
      </c>
      <c r="D12" s="10" t="inlineStr">
        <is>
          <t>GB</t>
        </is>
      </c>
      <c r="E12" s="10" t="inlineStr"/>
    </row>
    <row r="13">
      <c r="B13" s="16" t="inlineStr">
        <is>
          <t>소요 VRAM(1 Replica가 전체 동시성 수용 시)</t>
        </is>
      </c>
      <c r="C13" s="19">
        <f>C9+C12+'입력'!C23</f>
        <v/>
      </c>
      <c r="D13" s="10" t="inlineStr">
        <is>
          <t>GB</t>
        </is>
      </c>
      <c r="E13" s="10" t="inlineStr"/>
    </row>
    <row r="14">
      <c r="B14" s="8" t="inlineStr">
        <is>
          <t>가용 VRAM/Replica(gpr×GPU)</t>
        </is>
      </c>
      <c r="C14" s="15">
        <f>'입력'!C25*'입력'!C21*'입력'!C22</f>
        <v/>
      </c>
      <c r="D14" s="10" t="inlineStr">
        <is>
          <t>GB</t>
        </is>
      </c>
      <c r="E14" s="10" t="inlineStr"/>
    </row>
    <row r="15">
      <c r="B15" s="8" t="inlineStr">
        <is>
          <t>모델 적재 가능?(gpr 반영)</t>
        </is>
      </c>
      <c r="C15" s="20">
        <f>IF(C9+'입력'!C23&lt;=C14,"예","아니오 → Replica당 GPU 늘리기/양자화")</f>
        <v/>
      </c>
      <c r="D15" s="10" t="inlineStr"/>
      <c r="E15" s="10" t="inlineStr"/>
    </row>
    <row r="16">
      <c r="B16" s="8" t="inlineStr">
        <is>
          <t>Replica당 수용 동시성(메모리)</t>
        </is>
      </c>
      <c r="C16" s="13">
        <f>IF(C11&lt;=0,0,FLOOR(MAX(C14-C9-'입력'!C23,0)/C11,1))</f>
        <v/>
      </c>
      <c r="D16" s="10" t="inlineStr"/>
      <c r="E16" s="10" t="inlineStr"/>
    </row>
    <row r="17">
      <c r="B17" s="8" t="inlineStr">
        <is>
          <t>적재 점검</t>
        </is>
      </c>
      <c r="C17" s="20">
        <f>IF(C15="예",IF(C16&lt;=0,"KV 여유 없음 → Replica당 GPU 늘리기","정상"),"모델 미적재 → Replica당 GPU 늘리기")</f>
        <v/>
      </c>
      <c r="D17" s="10" t="inlineStr"/>
      <c r="E17" s="10" t="inlineStr"/>
    </row>
    <row r="18">
      <c r="A18" s="6" t="inlineStr">
        <is>
          <t>처리량 → Replica → GPU (가이드 02.5 / A1)</t>
        </is>
      </c>
      <c r="B18" s="7" t="n"/>
      <c r="C18" s="7" t="n"/>
      <c r="D18" s="7" t="n"/>
      <c r="E18" s="7" t="n"/>
    </row>
    <row r="19">
      <c r="B19" s="8" t="inlineStr">
        <is>
          <t>필요 출력 처리량(피크)</t>
        </is>
      </c>
      <c r="C19" s="13">
        <f>C5*'입력'!C19</f>
        <v/>
      </c>
      <c r="D19" s="10" t="inlineStr">
        <is>
          <t>tok/s</t>
        </is>
      </c>
      <c r="E19" s="10" t="inlineStr"/>
    </row>
    <row r="20">
      <c r="B20" s="8" t="inlineStr">
        <is>
          <t>Replica(처리량 기준)</t>
        </is>
      </c>
      <c r="C20" s="13">
        <f>ROUNDUP(C19/'입력'!C24,0)</f>
        <v/>
      </c>
      <c r="D20" s="10" t="inlineStr"/>
      <c r="E20" s="10" t="inlineStr"/>
    </row>
    <row r="21">
      <c r="B21" s="8" t="inlineStr">
        <is>
          <t>Replica(메모리 기준)</t>
        </is>
      </c>
      <c r="C21" s="13">
        <f>IF(C16&lt;=0,"적재불가",ROUNDUP(C7/C16,0))</f>
        <v/>
      </c>
      <c r="D21" s="10" t="inlineStr"/>
      <c r="E21" s="10" t="inlineStr"/>
    </row>
    <row r="22">
      <c r="B22" s="8" t="inlineStr">
        <is>
          <t>기본 Replica</t>
        </is>
      </c>
      <c r="C22" s="13">
        <f>IF(C16&lt;=0,"적재불가",MAX(C20,C21,1))</f>
        <v/>
      </c>
      <c r="D22" s="10" t="inlineStr"/>
      <c r="E22" s="10" t="inlineStr"/>
    </row>
    <row r="23">
      <c r="B23" s="8" t="inlineStr">
        <is>
          <t>총 추론 Replica(+N+1)</t>
        </is>
      </c>
      <c r="C23" s="13">
        <f>IF(ISNUMBER(C22),C22+'입력'!C26,"적재불가")</f>
        <v/>
      </c>
      <c r="D23" s="10" t="inlineStr"/>
      <c r="E23" s="10" t="inlineStr"/>
    </row>
    <row r="24">
      <c r="B24" s="8" t="inlineStr">
        <is>
          <t>추론 GPU</t>
        </is>
      </c>
      <c r="C24" s="13">
        <f>IF(ISNUMBER(C23),C23*'입력'!C25,"적재불가")</f>
        <v/>
      </c>
      <c r="D24" s="10" t="inlineStr"/>
      <c r="E24" s="10" t="inlineStr"/>
    </row>
    <row r="25">
      <c r="B25" s="16" t="inlineStr">
        <is>
          <t>총 GPU(논리)</t>
        </is>
      </c>
      <c r="C25" s="17">
        <f>IF(ISNUMBER(C24),C24+'입력'!C27,"적재불가")</f>
        <v/>
      </c>
      <c r="D25" s="10" t="inlineStr"/>
      <c r="E25" s="10" t="inlineStr"/>
    </row>
    <row r="26">
      <c r="A26" s="6" t="inlineStr">
        <is>
          <t>노드 → 클러스터 (가이드 04)</t>
        </is>
      </c>
      <c r="B26" s="7" t="n"/>
      <c r="C26" s="7" t="n"/>
      <c r="D26" s="7" t="n"/>
      <c r="E26" s="7" t="n"/>
    </row>
    <row r="27">
      <c r="B27" s="8" t="inlineStr">
        <is>
          <t>GPU 워커 노드(워크로드)</t>
        </is>
      </c>
      <c r="C27" s="13">
        <f>IF(ISNUMBER(C25),ROUNDUP(C25/'입력'!C28,0),"적재불가")</f>
        <v/>
      </c>
      <c r="D27" s="10" t="inlineStr"/>
      <c r="E27" s="10" t="inlineStr"/>
    </row>
    <row r="28">
      <c r="B28" s="16" t="inlineStr">
        <is>
          <t>GPU 워커 노드(PAIF 최소 반영)</t>
        </is>
      </c>
      <c r="C28" s="17">
        <f>IF(ISNUMBER(C27),MAX(C27,'입력'!C30),"적재불가")</f>
        <v/>
      </c>
      <c r="D28" s="10" t="inlineStr"/>
      <c r="E28" s="10" t="inlineStr"/>
    </row>
    <row r="29">
      <c r="B29" s="8" t="inlineStr">
        <is>
          <t>GPU 워커 노드(오토스케일 상한)</t>
        </is>
      </c>
      <c r="C29" s="13">
        <f>IF(ISNUMBER(C28),ROUNDUP(C28*(1+'입력'!C29),0),"적재불가")</f>
        <v/>
      </c>
      <c r="D29" s="10" t="inlineStr"/>
      <c r="E29" s="10" t="inlineStr"/>
    </row>
    <row r="30">
      <c r="B30" s="16" t="inlineStr">
        <is>
          <t>클러스터 노드 합계</t>
        </is>
      </c>
      <c r="C30" s="17">
        <f>IF(ISNUMBER(C28),C28+'입력'!C31+'입력'!C32,"적재불가")</f>
        <v/>
      </c>
      <c r="D30" s="10" t="inlineStr"/>
      <c r="E30" s="10" t="inlineStr"/>
    </row>
    <row r="31">
      <c r="B31" s="8" t="inlineStr">
        <is>
          <t>총 노드(전 클러스터)</t>
        </is>
      </c>
      <c r="C31" s="13">
        <f>IF(ISNUMBER(C30),C30*'입력'!C33,"적재불가")</f>
        <v/>
      </c>
      <c r="D31" s="10" t="inlineStr"/>
      <c r="E31" s="10" t="inlineStr"/>
    </row>
    <row r="32">
      <c r="B32" s="8" t="inlineStr">
        <is>
          <t>Supervisor 클러스터 한도</t>
        </is>
      </c>
      <c r="C32" s="20">
        <f>IF('입력'!C33&lt;='입력'!C34,"여유","초과")</f>
        <v/>
      </c>
      <c r="D32" s="10" t="inlineStr"/>
      <c r="E32" s="10" t="inlineStr"/>
    </row>
    <row r="33">
      <c r="B33" s="8" t="inlineStr">
        <is>
          <t>Supervisor 노드 한도</t>
        </is>
      </c>
      <c r="C33" s="20">
        <f>IF(ISNUMBER(C31),IF(C31&lt;='입력'!C35,"여유","초과"),"적재불가")</f>
        <v/>
      </c>
      <c r="D33" s="10" t="inlineStr"/>
      <c r="E33" s="10" t="inlineStr"/>
    </row>
    <row r="34">
      <c r="A34" s="6" t="inlineStr">
        <is>
          <t>스토리지 (가이드 05)</t>
        </is>
      </c>
      <c r="B34" s="7" t="n"/>
      <c r="C34" s="7" t="n"/>
      <c r="D34" s="7" t="n"/>
      <c r="E34" s="7" t="n"/>
    </row>
    <row r="35">
      <c r="B35" s="8" t="inlineStr">
        <is>
          <t>모델 아티팩트</t>
        </is>
      </c>
      <c r="C35" s="15">
        <f>C9*'입력'!C37</f>
        <v/>
      </c>
      <c r="D35" s="10" t="inlineStr">
        <is>
          <t>GB</t>
        </is>
      </c>
      <c r="E35" s="10" t="inlineStr"/>
    </row>
    <row r="36">
      <c r="B36" s="8" t="inlineStr">
        <is>
          <t>문서 코퍼스</t>
        </is>
      </c>
      <c r="C36" s="15">
        <f>'입력'!C39*'입력'!C40</f>
        <v/>
      </c>
      <c r="D36" s="10" t="inlineStr">
        <is>
          <t>GB</t>
        </is>
      </c>
      <c r="E36" s="10" t="inlineStr"/>
    </row>
    <row r="37">
      <c r="B37" s="8" t="inlineStr">
        <is>
          <t>벡터 원시</t>
        </is>
      </c>
      <c r="C37" s="15">
        <f>'입력'!C41*'입력'!C42*'입력'!C43/1073741824</f>
        <v/>
      </c>
      <c r="D37" s="10" t="inlineStr">
        <is>
          <t>GB</t>
        </is>
      </c>
      <c r="E37" s="10" t="inlineStr"/>
    </row>
    <row r="38">
      <c r="B38" s="8" t="inlineStr">
        <is>
          <t>벡터 HNSW</t>
        </is>
      </c>
      <c r="C38" s="15">
        <f>C37*'입력'!C44</f>
        <v/>
      </c>
      <c r="D38" s="10" t="inlineStr">
        <is>
          <t>GB</t>
        </is>
      </c>
      <c r="E38" s="10" t="inlineStr"/>
    </row>
    <row r="39">
      <c r="B39" s="8" t="inlineStr">
        <is>
          <t>벡터 인덱스 합</t>
        </is>
      </c>
      <c r="C39" s="15">
        <f>C37+C38</f>
        <v/>
      </c>
      <c r="D39" s="10" t="inlineStr">
        <is>
          <t>GB</t>
        </is>
      </c>
      <c r="E39" s="10" t="inlineStr"/>
    </row>
    <row r="40">
      <c r="B40" s="16" t="inlineStr">
        <is>
          <t>논리 합계</t>
        </is>
      </c>
      <c r="C40" s="19">
        <f>C35+'입력'!C38+C36+C39+'입력'!C45</f>
        <v/>
      </c>
      <c r="D40" s="10" t="inlineStr">
        <is>
          <t>GB</t>
        </is>
      </c>
      <c r="E40" s="10" t="inlineStr"/>
    </row>
    <row r="41">
      <c r="B41" s="16" t="inlineStr">
        <is>
          <t>필요 가용 용량</t>
        </is>
      </c>
      <c r="C41" s="19">
        <f>C40*'입력'!C46/'입력'!C47</f>
        <v/>
      </c>
      <c r="D41" s="10" t="inlineStr">
        <is>
          <t>GB</t>
        </is>
      </c>
      <c r="E41" s="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8" customWidth="1" min="4" max="4"/>
    <col width="22" customWidth="1" min="5" max="5"/>
    <col width="30" customWidth="1" min="6" max="6"/>
  </cols>
  <sheetData>
    <row r="1">
      <c r="B1" s="1" t="inlineStr">
        <is>
          <t>TCO 골격 (단가는 견적으로 — 부록 A3)</t>
        </is>
      </c>
      <c r="C1" s="5" t="n"/>
      <c r="D1" s="5" t="n"/>
      <c r="E1" s="5" t="n"/>
      <c r="F1" s="5" t="n"/>
    </row>
    <row r="2">
      <c r="A2" s="6" t="inlineStr">
        <is>
          <t>라이선스 산정 입력</t>
        </is>
      </c>
      <c r="B2" s="7" t="n"/>
      <c r="C2" s="7" t="n"/>
      <c r="D2" s="7" t="n"/>
      <c r="E2" s="7" t="n"/>
    </row>
    <row r="3">
      <c r="B3" s="8" t="inlineStr">
        <is>
          <t>코어/호스트(최소수량 반영)</t>
        </is>
      </c>
      <c r="C3" s="13">
        <f>MAX('입력'!C50,'입력'!C51*'입력'!C52)</f>
        <v/>
      </c>
      <c r="D3" s="10" t="inlineStr">
        <is>
          <t>코어</t>
        </is>
      </c>
      <c r="E3" s="10" t="inlineStr">
        <is>
          <t>MAX(실제, 소켓×최소수량)</t>
        </is>
      </c>
    </row>
    <row r="4">
      <c r="B4" s="8" t="inlineStr">
        <is>
          <t>총 라이선스 코어</t>
        </is>
      </c>
      <c r="C4" s="13">
        <f>'입력'!C49*C3</f>
        <v/>
      </c>
      <c r="D4" s="10" t="inlineStr">
        <is>
          <t>코어</t>
        </is>
      </c>
      <c r="E4" s="10" t="inlineStr">
        <is>
          <t>코어 최소수량 반영 (07.2 / A3.1)</t>
        </is>
      </c>
    </row>
    <row r="5">
      <c r="B5" s="8" t="inlineStr">
        <is>
          <t>NVAIE 대상 GPU</t>
        </is>
      </c>
      <c r="C5" s="21">
        <f>IF(ISNUMBER('산정'!C25),'산정'!C25,"적재불가")</f>
        <v/>
      </c>
      <c r="D5" s="10" t="inlineStr">
        <is>
          <t>GPU</t>
        </is>
      </c>
      <c r="E5" s="10" t="inlineStr">
        <is>
          <t>설치 물리 GPU 전수 (07.2)</t>
        </is>
      </c>
    </row>
    <row r="6">
      <c r="B6" s="8" t="inlineStr">
        <is>
          <t>스토리지 필요 가용</t>
        </is>
      </c>
      <c r="C6" s="21">
        <f>'산정'!C41</f>
        <v/>
      </c>
      <c r="D6" s="10" t="inlineStr">
        <is>
          <t>GB</t>
        </is>
      </c>
      <c r="E6" s="10" t="inlineStr">
        <is>
          <t>05.5</t>
        </is>
      </c>
    </row>
    <row r="8">
      <c r="A8" s="6" t="inlineStr">
        <is>
          <t>비용 항목 (단가 칸을 견적으로 채우면 연 환산 자동)</t>
        </is>
      </c>
      <c r="B8" s="7" t="n"/>
      <c r="C8" s="7" t="n"/>
      <c r="D8" s="7" t="n"/>
      <c r="E8" s="7" t="n"/>
    </row>
    <row r="9">
      <c r="B9" s="22" t="inlineStr">
        <is>
          <t>항목</t>
        </is>
      </c>
      <c r="C9" s="22" t="inlineStr">
        <is>
          <t>수량</t>
        </is>
      </c>
      <c r="D9" s="22" t="inlineStr">
        <is>
          <t>단가(견적 입력)</t>
        </is>
      </c>
      <c r="E9" s="22" t="inlineStr">
        <is>
          <t>연 환산 소계</t>
        </is>
      </c>
    </row>
    <row r="10">
      <c r="B10" s="8" t="inlineStr">
        <is>
          <t>VCF 코어 구독</t>
        </is>
      </c>
      <c r="C10" s="13">
        <f>C4</f>
        <v/>
      </c>
      <c r="D10" s="23" t="n"/>
      <c r="E10" s="24">
        <f>IF(D10="","견적 입력 필요",IF(ISNUMBER(C10),C10*D10,"적재불가"))</f>
        <v/>
      </c>
      <c r="F10" s="10" t="inlineStr">
        <is>
          <t>코어/년, PAIF 포함(이중계상 금지)</t>
        </is>
      </c>
    </row>
    <row r="11">
      <c r="B11" s="8" t="inlineStr">
        <is>
          <t>NVAIE(GPU당)</t>
        </is>
      </c>
      <c r="C11" s="13">
        <f>C5</f>
        <v/>
      </c>
      <c r="D11" s="23" t="n"/>
      <c r="E11" s="24">
        <f>IF(D11="","견적 입력 필요",IF(ISNUMBER(C11),C11*D11,"적재불가"))</f>
        <v/>
      </c>
      <c r="F11" s="10" t="inlineStr">
        <is>
          <t>GPU/년, NVIDIA 별도</t>
        </is>
      </c>
    </row>
    <row r="12">
      <c r="B12" s="8" t="inlineStr">
        <is>
          <t>DSM</t>
        </is>
      </c>
      <c r="C12" s="13">
        <f>1</f>
        <v/>
      </c>
      <c r="D12" s="23" t="n"/>
      <c r="E12" s="24">
        <f>IF(D12="","견적 입력 필요",IF(ISNUMBER(C12),C12*D12,"적재불가"))</f>
        <v/>
      </c>
      <c r="F12" s="10" t="inlineStr">
        <is>
          <t>VCF entitlement (조건 A3.1)</t>
        </is>
      </c>
    </row>
    <row r="13">
      <c r="B13" s="8" t="inlineStr">
        <is>
          <t>GPU 하드웨어</t>
        </is>
      </c>
      <c r="C13" s="13">
        <f>C5</f>
        <v/>
      </c>
      <c r="D13" s="23" t="n"/>
      <c r="E13" s="24">
        <f>IF(D13="","견적 입력 필요",IF(ISNUMBER(C13),C13*D13,"적재불가"))</f>
        <v/>
      </c>
      <c r="F13" s="10" t="inlineStr">
        <is>
          <t>÷ 상각연수 (07.3)</t>
        </is>
      </c>
    </row>
    <row r="14">
      <c r="B14" s="8" t="inlineStr">
        <is>
          <t>GPU 서버(노드)</t>
        </is>
      </c>
      <c r="C14" s="13">
        <f>IF(ISNUMBER('산정'!C30),'산정'!C30,"적재불가")</f>
        <v/>
      </c>
      <c r="D14" s="23" t="n"/>
      <c r="E14" s="24">
        <f>IF(D14="","견적 입력 필요",IF(ISNUMBER(C14),C14*D14,"적재불가"))</f>
        <v/>
      </c>
      <c r="F14" s="10" t="inlineStr">
        <is>
          <t>÷ 상각연수</t>
        </is>
      </c>
    </row>
    <row r="15">
      <c r="B15" s="8" t="inlineStr">
        <is>
          <t>스토리지</t>
        </is>
      </c>
      <c r="C15" s="13">
        <f>C6</f>
        <v/>
      </c>
      <c r="D15" s="23" t="n"/>
      <c r="E15" s="24">
        <f>IF(D15="","견적 입력 필요",IF(ISNUMBER(C15),C15*D15,"적재불가"))</f>
        <v/>
      </c>
      <c r="F15" s="10" t="inlineStr">
        <is>
          <t>GB, vSAN 등</t>
        </is>
      </c>
    </row>
    <row r="16">
      <c r="B16" s="8" t="inlineStr">
        <is>
          <t>네트워크/스위치</t>
        </is>
      </c>
      <c r="C16" s="13">
        <f>1</f>
        <v/>
      </c>
      <c r="D16" s="23" t="n"/>
      <c r="E16" s="24">
        <f>IF(D16="","견적 입력 필요",IF(ISNUMBER(C16),C16*D16,"적재불가"))</f>
        <v/>
      </c>
      <c r="F16" s="10" t="inlineStr">
        <is>
          <t>토폴로지 (05.4)</t>
        </is>
      </c>
    </row>
    <row r="17">
      <c r="B17" s="8" t="inlineStr">
        <is>
          <t>전력(연)</t>
        </is>
      </c>
      <c r="C17" s="13">
        <f>C5</f>
        <v/>
      </c>
      <c r="D17" s="23" t="n"/>
      <c r="E17" s="24">
        <f>IF(D17="","견적 입력 필요",IF(ISNUMBER(C17),C17*D17,"적재불가"))</f>
        <v/>
      </c>
      <c r="F17" s="10" t="inlineStr">
        <is>
          <t>GPU 전력×PUE (07.5)</t>
        </is>
      </c>
    </row>
    <row r="18">
      <c r="B18" s="8" t="inlineStr">
        <is>
          <t>유지보수/지원</t>
        </is>
      </c>
      <c r="C18" s="13">
        <f>1</f>
        <v/>
      </c>
      <c r="D18" s="23" t="n"/>
      <c r="E18" s="24">
        <f>IF(D18="","견적 입력 필요",IF(ISNUMBER(C18),C18*D18,"적재불가"))</f>
        <v/>
      </c>
      <c r="F18" s="10" t="inlineStr">
        <is>
          <t>계약</t>
        </is>
      </c>
    </row>
    <row r="19">
      <c r="B19" s="8" t="inlineStr">
        <is>
          <t>도입/마이그레이션</t>
        </is>
      </c>
      <c r="C19" s="13">
        <f>1</f>
        <v/>
      </c>
      <c r="D19" s="23" t="n"/>
      <c r="E19" s="24">
        <f>IF(D19="","견적 입력 필요",IF(ISNUMBER(C19),C19*D19,"적재불가"))</f>
        <v/>
      </c>
      <c r="F19" s="10" t="inlineStr">
        <is>
          <t>일회성</t>
        </is>
      </c>
    </row>
    <row r="21">
      <c r="B21" s="25" t="inlineStr">
        <is>
          <t>단가(노란 칸)는 본 워크북이 제시하지 않습니다. 부록 A3 견적 요청 체크리스트로 채우고 출처를 기록하세요.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2026-06-27T07:08:25Z</dcterms:created>
  <dcterms:modified xmlns:dcterms="http://purl.org/dc/terms/" xmlns:xsi="http://www.w3.org/2001/XMLSchema-instance" xsi:type="dcterms:W3CDTF">2026-06-27T07:08:25Z</dcterms:modified>
</cp:coreProperties>
</file>