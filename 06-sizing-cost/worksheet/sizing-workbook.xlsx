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표지" sheetId="1" state="visible" r:id="rId3"/>
    <sheet name="입력" sheetId="2" state="visible" r:id="rId4"/>
    <sheet name="상수" sheetId="3" state="visible" r:id="rId5"/>
    <sheet name="산정" sheetId="4" state="visible" r:id="rId6"/>
    <sheet name="TC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<sst xmlns="http://schemas.openxmlformats.org/spreadsheetml/2006/main" count="327" uniqueCount="263">
  <si>
    <r>
      <rPr>
        <b val="true"/>
        <sz val="12"/>
        <color rgb="FFFFFFFF"/>
        <rFont val="Arial"/>
        <family val="0"/>
        <charset val="1"/>
      </rPr>
      <t xml:space="preserve">VCF Private AI </t>
    </r>
    <r>
      <rPr>
        <b val="true"/>
        <sz val="12"/>
        <color rgb="FFFFFFFF"/>
        <rFont val="나눔고딕"/>
        <family val="2"/>
        <charset val="129"/>
      </rPr>
      <t xml:space="preserve">사이징과 </t>
    </r>
    <r>
      <rPr>
        <b val="true"/>
        <sz val="12"/>
        <color rgb="FFFFFFFF"/>
        <rFont val="Arial"/>
        <family val="0"/>
        <charset val="1"/>
      </rPr>
      <t xml:space="preserve">TCO </t>
    </r>
    <r>
      <rPr>
        <b val="true"/>
        <sz val="12"/>
        <color rgb="FFFFFFFF"/>
        <rFont val="나눔고딕"/>
        <family val="2"/>
        <charset val="129"/>
      </rPr>
      <t xml:space="preserve">계산 워크북</t>
    </r>
  </si>
  <si>
    <r>
      <rPr>
        <b val="true"/>
        <sz val="11"/>
        <color rgb="FF000000"/>
        <rFont val="나눔고딕"/>
        <family val="2"/>
        <charset val="129"/>
      </rPr>
      <t xml:space="preserve">목적</t>
    </r>
    <r>
      <rPr>
        <b val="true"/>
        <sz val="11"/>
        <color rgb="FF000000"/>
        <rFont val="Arial"/>
        <family val="0"/>
        <charset val="1"/>
      </rPr>
      <t xml:space="preserve">: </t>
    </r>
    <r>
      <rPr>
        <b val="true"/>
        <sz val="11"/>
        <color rgb="FF000000"/>
        <rFont val="나눔고딕"/>
        <family val="2"/>
        <charset val="129"/>
      </rPr>
      <t xml:space="preserve">입력 시트의 값을 채우면 동시성</t>
    </r>
    <r>
      <rPr>
        <b val="true"/>
        <sz val="11"/>
        <color rgb="FF000000"/>
        <rFont val="Arial"/>
        <family val="0"/>
        <charset val="1"/>
      </rPr>
      <t xml:space="preserve">, GPU, </t>
    </r>
    <r>
      <rPr>
        <b val="true"/>
        <sz val="11"/>
        <color rgb="FF000000"/>
        <rFont val="나눔고딕"/>
        <family val="2"/>
        <charset val="129"/>
      </rPr>
      <t xml:space="preserve">호스트</t>
    </r>
    <r>
      <rPr>
        <b val="true"/>
        <sz val="11"/>
        <color rgb="FF000000"/>
        <rFont val="Arial"/>
        <family val="0"/>
        <charset val="1"/>
      </rPr>
      <t xml:space="preserve">, VKS </t>
    </r>
    <r>
      <rPr>
        <b val="true"/>
        <sz val="11"/>
        <color rgb="FF000000"/>
        <rFont val="나눔고딕"/>
        <family val="2"/>
        <charset val="129"/>
      </rPr>
      <t xml:space="preserve">노드</t>
    </r>
    <r>
      <rPr>
        <b val="true"/>
        <sz val="11"/>
        <color rgb="FF000000"/>
        <rFont val="Arial"/>
        <family val="0"/>
        <charset val="1"/>
      </rPr>
      <t xml:space="preserve">, </t>
    </r>
    <r>
      <rPr>
        <b val="true"/>
        <sz val="11"/>
        <color rgb="FF000000"/>
        <rFont val="나눔고딕"/>
        <family val="2"/>
        <charset val="129"/>
      </rPr>
      <t xml:space="preserve">스토리지</t>
    </r>
    <r>
      <rPr>
        <b val="true"/>
        <sz val="11"/>
        <color rgb="FF000000"/>
        <rFont val="Arial"/>
        <family val="0"/>
        <charset val="1"/>
      </rPr>
      <t xml:space="preserve">, TCO </t>
    </r>
    <r>
      <rPr>
        <b val="true"/>
        <sz val="11"/>
        <color rgb="FF000000"/>
        <rFont val="나눔고딕"/>
        <family val="2"/>
        <charset val="129"/>
      </rPr>
      <t xml:space="preserve">수량이 수식으로 산출됩니다</t>
    </r>
    <r>
      <rPr>
        <b val="true"/>
        <sz val="11"/>
        <color rgb="FF000000"/>
        <rFont val="Arial"/>
        <family val="0"/>
        <charset val="1"/>
      </rPr>
      <t xml:space="preserve">.</t>
    </r>
  </si>
  <si>
    <r>
      <rPr>
        <b val="true"/>
        <sz val="11"/>
        <color rgb="FFC00000"/>
        <rFont val="Arial"/>
        <family val="0"/>
        <charset val="1"/>
      </rPr>
      <t xml:space="preserve">[</t>
    </r>
    <r>
      <rPr>
        <b val="true"/>
        <sz val="11"/>
        <color rgb="FFC00000"/>
        <rFont val="나눔고딕"/>
        <family val="2"/>
        <charset val="129"/>
      </rPr>
      <t xml:space="preserve">중요</t>
    </r>
    <r>
      <rPr>
        <b val="true"/>
        <sz val="11"/>
        <color rgb="FFC00000"/>
        <rFont val="Arial"/>
        <family val="0"/>
        <charset val="1"/>
      </rPr>
      <t xml:space="preserve">]</t>
    </r>
  </si>
  <si>
    <r>
      <rPr>
        <sz val="11"/>
        <color rgb="FF000000"/>
        <rFont val="Arial"/>
        <family val="0"/>
        <charset val="1"/>
      </rPr>
      <t xml:space="preserve">- </t>
    </r>
    <r>
      <rPr>
        <sz val="11"/>
        <color rgb="FF000000"/>
        <rFont val="나눔고딕"/>
        <family val="2"/>
        <charset val="129"/>
      </rPr>
      <t xml:space="preserve">성능 작동점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나눔고딕"/>
        <family val="2"/>
        <charset val="129"/>
      </rPr>
      <t xml:space="preserve">요청 동시성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나눔고딕"/>
        <family val="2"/>
        <charset val="129"/>
      </rPr>
      <t xml:space="preserve">첫 토큰 시간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나눔고딕"/>
        <family val="2"/>
        <charset val="129"/>
      </rPr>
      <t xml:space="preserve">토큰 간 지연</t>
    </r>
    <r>
      <rPr>
        <sz val="11"/>
        <color rgb="FF000000"/>
        <rFont val="Arial"/>
        <family val="0"/>
        <charset val="1"/>
      </rPr>
      <t xml:space="preserve">)</t>
    </r>
    <r>
      <rPr>
        <sz val="11"/>
        <color rgb="FF000000"/>
        <rFont val="나눔고딕"/>
        <family val="2"/>
        <charset val="129"/>
      </rPr>
      <t xml:space="preserve">의 기본값은 공개 측정값이며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나눔고딕"/>
        <family val="2"/>
        <charset val="129"/>
      </rPr>
      <t xml:space="preserve">자사 </t>
    </r>
    <r>
      <rPr>
        <sz val="11"/>
        <color rgb="FF000000"/>
        <rFont val="Arial"/>
        <family val="0"/>
        <charset val="1"/>
      </rPr>
      <t xml:space="preserve">PoC </t>
    </r>
    <r>
      <rPr>
        <sz val="11"/>
        <color rgb="FF000000"/>
        <rFont val="나눔고딕"/>
        <family val="2"/>
        <charset val="129"/>
      </rPr>
      <t xml:space="preserve">실측으로 바꿔야 합니다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나눔고딕"/>
        <family val="2"/>
        <charset val="129"/>
      </rPr>
      <t xml:space="preserve">가이드 </t>
    </r>
    <r>
      <rPr>
        <sz val="11"/>
        <color rgb="FF000000"/>
        <rFont val="Arial"/>
        <family val="0"/>
        <charset val="1"/>
      </rPr>
      <t xml:space="preserve">06 6.5</t>
    </r>
    <r>
      <rPr>
        <sz val="11"/>
        <color rgb="FF000000"/>
        <rFont val="나눔고딕"/>
        <family val="2"/>
        <charset val="129"/>
      </rPr>
      <t xml:space="preserve">절</t>
    </r>
    <r>
      <rPr>
        <sz val="11"/>
        <color rgb="FF000000"/>
        <rFont val="Arial"/>
        <family val="0"/>
        <charset val="1"/>
      </rPr>
      <t xml:space="preserve">).</t>
    </r>
  </si>
  <si>
    <r>
      <rPr>
        <sz val="11"/>
        <color rgb="FF000000"/>
        <rFont val="Arial"/>
        <family val="0"/>
        <charset val="1"/>
      </rPr>
      <t xml:space="preserve">- 1</t>
    </r>
    <r>
      <rPr>
        <sz val="11"/>
        <color rgb="FF000000"/>
        <rFont val="나눔고딕"/>
        <family val="2"/>
        <charset val="129"/>
      </rPr>
      <t xml:space="preserve">인당 질의 수와 피크</t>
    </r>
    <r>
      <rPr>
        <sz val="11"/>
        <color rgb="FF000000"/>
        <rFont val="Arial"/>
        <family val="0"/>
        <charset val="1"/>
      </rPr>
      <t xml:space="preserve">/</t>
    </r>
    <r>
      <rPr>
        <sz val="11"/>
        <color rgb="FF000000"/>
        <rFont val="나눔고딕"/>
        <family val="2"/>
        <charset val="129"/>
      </rPr>
      <t xml:space="preserve">평균비의 기본값은 근거 없는 가정값입니다</t>
    </r>
    <r>
      <rPr>
        <sz val="11"/>
        <color rgb="FF000000"/>
        <rFont val="Arial"/>
        <family val="0"/>
        <charset val="1"/>
      </rPr>
      <t xml:space="preserve">. </t>
    </r>
    <r>
      <rPr>
        <sz val="11"/>
        <color rgb="FF000000"/>
        <rFont val="나눔고딕"/>
        <family val="2"/>
        <charset val="129"/>
      </rPr>
      <t xml:space="preserve">자사 로그로 실측하세요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나눔고딕"/>
        <family val="2"/>
        <charset val="129"/>
      </rPr>
      <t xml:space="preserve">부록 </t>
    </r>
    <r>
      <rPr>
        <sz val="11"/>
        <color rgb="FF000000"/>
        <rFont val="Arial"/>
        <family val="0"/>
        <charset val="1"/>
      </rPr>
      <t xml:space="preserve">A2.1).</t>
    </r>
  </si>
  <si>
    <r>
      <rPr>
        <sz val="11"/>
        <color rgb="FF000000"/>
        <rFont val="Arial"/>
        <family val="0"/>
        <charset val="1"/>
      </rPr>
      <t xml:space="preserve">- </t>
    </r>
    <r>
      <rPr>
        <sz val="11"/>
        <color rgb="FF000000"/>
        <rFont val="나눔고딕"/>
        <family val="2"/>
        <charset val="129"/>
      </rPr>
      <t xml:space="preserve">금액은 싣지 않습니다</t>
    </r>
    <r>
      <rPr>
        <sz val="11"/>
        <color rgb="FF000000"/>
        <rFont val="Arial"/>
        <family val="0"/>
        <charset val="1"/>
      </rPr>
      <t xml:space="preserve">. TCO </t>
    </r>
    <r>
      <rPr>
        <sz val="11"/>
        <color rgb="FF000000"/>
        <rFont val="나눔고딕"/>
        <family val="2"/>
        <charset val="129"/>
      </rPr>
      <t xml:space="preserve">시트는 수량까지 계산하고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나눔고딕"/>
        <family val="2"/>
        <charset val="129"/>
      </rPr>
      <t xml:space="preserve">단가 칸은 견적으로 채웁니다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나눔고딕"/>
        <family val="2"/>
        <charset val="129"/>
      </rPr>
      <t xml:space="preserve">부록 </t>
    </r>
    <r>
      <rPr>
        <sz val="11"/>
        <color rgb="FF000000"/>
        <rFont val="Arial"/>
        <family val="0"/>
        <charset val="1"/>
      </rPr>
      <t xml:space="preserve">A3).</t>
    </r>
  </si>
  <si>
    <r>
      <rPr>
        <b val="true"/>
        <sz val="11"/>
        <color rgb="FF000000"/>
        <rFont val="Arial"/>
        <family val="0"/>
        <charset val="1"/>
      </rPr>
      <t xml:space="preserve">[</t>
    </r>
    <r>
      <rPr>
        <b val="true"/>
        <sz val="11"/>
        <color rgb="FF000000"/>
        <rFont val="나눔고딕"/>
        <family val="2"/>
        <charset val="129"/>
      </rPr>
      <t xml:space="preserve">시트 구성</t>
    </r>
    <r>
      <rPr>
        <b val="true"/>
        <sz val="11"/>
        <color rgb="FF000000"/>
        <rFont val="Arial"/>
        <family val="0"/>
        <charset val="1"/>
      </rPr>
      <t xml:space="preserve">]</t>
    </r>
  </si>
  <si>
    <r>
      <rPr>
        <sz val="11"/>
        <color rgb="FF000000"/>
        <rFont val="Arial"/>
        <family val="0"/>
        <charset val="1"/>
      </rPr>
      <t xml:space="preserve">- </t>
    </r>
    <r>
      <rPr>
        <sz val="11"/>
        <color rgb="FF000000"/>
        <rFont val="나눔고딕"/>
        <family val="2"/>
        <charset val="129"/>
      </rPr>
      <t xml:space="preserve">입력</t>
    </r>
    <r>
      <rPr>
        <sz val="11"/>
        <color rgb="FF000000"/>
        <rFont val="Arial"/>
        <family val="0"/>
        <charset val="1"/>
      </rPr>
      <t xml:space="preserve">: </t>
    </r>
    <r>
      <rPr>
        <sz val="11"/>
        <color rgb="FF000000"/>
        <rFont val="나눔고딕"/>
        <family val="2"/>
        <charset val="129"/>
      </rPr>
      <t xml:space="preserve">자사 상황에 맞춰 정하는 값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나눔고딕"/>
        <family val="2"/>
        <charset val="129"/>
      </rPr>
      <t xml:space="preserve">파란 글씨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</si>
  <si>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Arial"/>
        <family val="0"/>
        <charset val="1"/>
      </rPr>
      <t xml:space="preserve">- </t>
    </r>
    <r>
      <rPr>
        <sz val="11"/>
        <color rgb="FF000000"/>
        <rFont val="나눔고딕"/>
        <family val="2"/>
        <charset val="129"/>
      </rPr>
      <t xml:space="preserve">상수</t>
    </r>
    <r>
      <rPr>
        <sz val="11"/>
        <color rgb="FF000000"/>
        <rFont val="Arial"/>
        <family val="0"/>
        <charset val="1"/>
      </rPr>
      <t xml:space="preserve">: </t>
    </r>
    <r>
      <rPr>
        <sz val="11"/>
        <color rgb="FF000000"/>
        <rFont val="나눔고딕"/>
        <family val="2"/>
        <charset val="129"/>
      </rPr>
      <t xml:space="preserve">플랫폼 규칙과 보수 계수</t>
    </r>
    <r>
      <rPr>
        <sz val="11"/>
        <color rgb="FF000000"/>
        <rFont val="Arial"/>
        <family val="0"/>
        <charset val="1"/>
      </rPr>
      <t xml:space="preserve">. </t>
    </r>
    <r>
      <rPr>
        <sz val="11"/>
        <color rgb="FF000000"/>
        <rFont val="나눔고딕"/>
        <family val="2"/>
        <charset val="129"/>
      </rPr>
      <t xml:space="preserve">특별한 사유가 없으면 바꾸지 않습니다</t>
    </r>
  </si>
  <si>
    <r>
      <rPr>
        <sz val="11"/>
        <color rgb="FF000000"/>
        <rFont val="Arial"/>
        <family val="0"/>
        <charset val="1"/>
      </rPr>
      <t xml:space="preserve">- </t>
    </r>
    <r>
      <rPr>
        <sz val="11"/>
        <color rgb="FF000000"/>
        <rFont val="나눔고딕"/>
        <family val="2"/>
        <charset val="129"/>
      </rPr>
      <t xml:space="preserve">산정</t>
    </r>
    <r>
      <rPr>
        <sz val="11"/>
        <color rgb="FF000000"/>
        <rFont val="Arial"/>
        <family val="0"/>
        <charset val="1"/>
      </rPr>
      <t xml:space="preserve">: </t>
    </r>
    <r>
      <rPr>
        <sz val="11"/>
        <color rgb="FF000000"/>
        <rFont val="나눔고딕"/>
        <family val="2"/>
        <charset val="129"/>
      </rPr>
      <t xml:space="preserve">계산 결과와 점검 결과</t>
    </r>
  </si>
  <si>
    <r>
      <rPr>
        <sz val="11"/>
        <color rgb="FF000000"/>
        <rFont val="Arial"/>
        <family val="0"/>
        <charset val="1"/>
      </rPr>
      <t xml:space="preserve">- TCO: </t>
    </r>
    <r>
      <rPr>
        <sz val="11"/>
        <color rgb="FF000000"/>
        <rFont val="나눔고딕"/>
        <family val="2"/>
        <charset val="129"/>
      </rPr>
      <t xml:space="preserve">라이선스와 하드웨어 수량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나눔고딕"/>
        <family val="2"/>
        <charset val="129"/>
      </rPr>
      <t xml:space="preserve">견적 단가 입력 칸</t>
    </r>
  </si>
  <si>
    <r>
      <rPr>
        <b val="true"/>
        <sz val="11"/>
        <color rgb="FF000000"/>
        <rFont val="Arial"/>
        <family val="0"/>
        <charset val="1"/>
      </rPr>
      <t xml:space="preserve">[</t>
    </r>
    <r>
      <rPr>
        <b val="true"/>
        <sz val="11"/>
        <color rgb="FF000000"/>
        <rFont val="나눔고딕"/>
        <family val="2"/>
        <charset val="129"/>
      </rPr>
      <t xml:space="preserve">색상 약속</t>
    </r>
    <r>
      <rPr>
        <b val="true"/>
        <sz val="11"/>
        <color rgb="FF000000"/>
        <rFont val="Arial"/>
        <family val="0"/>
        <charset val="1"/>
      </rPr>
      <t xml:space="preserve">]</t>
    </r>
  </si>
  <si>
    <r>
      <rPr>
        <sz val="11"/>
        <color rgb="FF000000"/>
        <rFont val="Arial"/>
        <family val="0"/>
        <charset val="1"/>
      </rPr>
      <t xml:space="preserve">- </t>
    </r>
    <r>
      <rPr>
        <sz val="11"/>
        <color rgb="FF000000"/>
        <rFont val="나눔고딕"/>
        <family val="2"/>
        <charset val="129"/>
      </rPr>
      <t xml:space="preserve">파란 글씨 </t>
    </r>
    <r>
      <rPr>
        <sz val="11"/>
        <color rgb="FF000000"/>
        <rFont val="Arial"/>
        <family val="0"/>
        <charset val="1"/>
      </rPr>
      <t xml:space="preserve">= </t>
    </r>
    <r>
      <rPr>
        <sz val="11"/>
        <color rgb="FF000000"/>
        <rFont val="나눔고딕"/>
        <family val="2"/>
        <charset val="129"/>
      </rPr>
      <t xml:space="preserve">입력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나눔고딕"/>
        <family val="2"/>
        <charset val="129"/>
      </rPr>
      <t xml:space="preserve">검은 글씨 </t>
    </r>
    <r>
      <rPr>
        <sz val="11"/>
        <color rgb="FF000000"/>
        <rFont val="Arial"/>
        <family val="0"/>
        <charset val="1"/>
      </rPr>
      <t xml:space="preserve">= </t>
    </r>
    <r>
      <rPr>
        <sz val="11"/>
        <color rgb="FF000000"/>
        <rFont val="나눔고딕"/>
        <family val="2"/>
        <charset val="129"/>
      </rPr>
      <t xml:space="preserve">수식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나눔고딕"/>
        <family val="2"/>
        <charset val="129"/>
      </rPr>
      <t xml:space="preserve">직접 수정 금지</t>
    </r>
    <r>
      <rPr>
        <sz val="11"/>
        <color rgb="FF000000"/>
        <rFont val="Arial"/>
        <family val="0"/>
        <charset val="1"/>
      </rPr>
      <t xml:space="preserve">), </t>
    </r>
    <r>
      <rPr>
        <sz val="11"/>
        <color rgb="FF000000"/>
        <rFont val="나눔고딕"/>
        <family val="2"/>
        <charset val="129"/>
      </rPr>
      <t xml:space="preserve">노란 배경 </t>
    </r>
    <r>
      <rPr>
        <sz val="11"/>
        <color rgb="FF000000"/>
        <rFont val="Arial"/>
        <family val="0"/>
        <charset val="1"/>
      </rPr>
      <t xml:space="preserve">= </t>
    </r>
    <r>
      <rPr>
        <sz val="11"/>
        <color rgb="FF000000"/>
        <rFont val="나눔고딕"/>
        <family val="2"/>
        <charset val="129"/>
      </rPr>
      <t xml:space="preserve">실측이나 견적으로 바꿀 값</t>
    </r>
  </si>
  <si>
    <r>
      <rPr>
        <b val="true"/>
        <sz val="11"/>
        <color rgb="FF000000"/>
        <rFont val="Arial"/>
        <family val="0"/>
        <charset val="1"/>
      </rPr>
      <t xml:space="preserve">[</t>
    </r>
    <r>
      <rPr>
        <b val="true"/>
        <sz val="11"/>
        <color rgb="FF000000"/>
        <rFont val="나눔고딕"/>
        <family val="2"/>
        <charset val="129"/>
      </rPr>
      <t xml:space="preserve">적용 범위</t>
    </r>
    <r>
      <rPr>
        <b val="true"/>
        <sz val="11"/>
        <color rgb="FF000000"/>
        <rFont val="Arial"/>
        <family val="0"/>
        <charset val="1"/>
      </rPr>
      <t xml:space="preserve">]</t>
    </r>
  </si>
  <si>
    <r>
      <rPr>
        <sz val="11"/>
        <color rgb="FF000000"/>
        <rFont val="Arial"/>
        <family val="0"/>
        <charset val="1"/>
      </rPr>
      <t xml:space="preserve">- </t>
    </r>
    <r>
      <rPr>
        <sz val="11"/>
        <color rgb="FF000000"/>
        <rFont val="나눔고딕"/>
        <family val="2"/>
        <charset val="129"/>
      </rPr>
      <t xml:space="preserve">모델 하나를 복제본 여러 개로 서빙하는 대화형 추론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나눔고딕"/>
        <family val="2"/>
        <charset val="129"/>
      </rPr>
      <t xml:space="preserve">사내 문서 </t>
    </r>
    <r>
      <rPr>
        <sz val="11"/>
        <color rgb="FF000000"/>
        <rFont val="Arial"/>
        <family val="0"/>
        <charset val="1"/>
      </rPr>
      <t xml:space="preserve">RAG </t>
    </r>
    <r>
      <rPr>
        <sz val="11"/>
        <color rgb="FF000000"/>
        <rFont val="나눔고딕"/>
        <family val="2"/>
        <charset val="129"/>
      </rPr>
      <t xml:space="preserve">등</t>
    </r>
    <r>
      <rPr>
        <sz val="11"/>
        <color rgb="FF000000"/>
        <rFont val="Arial"/>
        <family val="0"/>
        <charset val="1"/>
      </rPr>
      <t xml:space="preserve">)</t>
    </r>
    <r>
      <rPr>
        <sz val="11"/>
        <color rgb="FF000000"/>
        <rFont val="나눔고딕"/>
        <family val="2"/>
        <charset val="129"/>
      </rPr>
      <t xml:space="preserve">의 </t>
    </r>
    <r>
      <rPr>
        <sz val="11"/>
        <color rgb="FF000000"/>
        <rFont val="Arial"/>
        <family val="0"/>
        <charset val="1"/>
      </rPr>
      <t xml:space="preserve">1</t>
    </r>
    <r>
      <rPr>
        <sz val="11"/>
        <color rgb="FF000000"/>
        <rFont val="나눔고딕"/>
        <family val="2"/>
        <charset val="129"/>
      </rPr>
      <t xml:space="preserve">차 산정 도구입니다</t>
    </r>
    <r>
      <rPr>
        <sz val="11"/>
        <color rgb="FF000000"/>
        <rFont val="Arial"/>
        <family val="0"/>
        <charset val="1"/>
      </rPr>
      <t xml:space="preserve">.</t>
    </r>
  </si>
  <si>
    <r>
      <rPr>
        <sz val="11"/>
        <color rgb="FF000000"/>
        <rFont val="Arial"/>
        <family val="0"/>
        <charset val="1"/>
      </rPr>
      <t xml:space="preserve">- </t>
    </r>
    <r>
      <rPr>
        <sz val="11"/>
        <color rgb="FF000000"/>
        <rFont val="나눔고딕"/>
        <family val="2"/>
        <charset val="129"/>
      </rPr>
      <t xml:space="preserve">여러 모델 동시 서빙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나눔고딕"/>
        <family val="2"/>
        <charset val="129"/>
      </rPr>
      <t xml:space="preserve">학습과 파인튜닝</t>
    </r>
    <r>
      <rPr>
        <sz val="11"/>
        <color rgb="FF000000"/>
        <rFont val="Arial"/>
        <family val="0"/>
        <charset val="1"/>
      </rPr>
      <t xml:space="preserve">, MIG </t>
    </r>
    <r>
      <rPr>
        <sz val="11"/>
        <color rgb="FF000000"/>
        <rFont val="나눔고딕"/>
        <family val="2"/>
        <charset val="129"/>
      </rPr>
      <t xml:space="preserve">세부 분할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나눔고딕"/>
        <family val="2"/>
        <charset val="129"/>
      </rPr>
      <t xml:space="preserve">멀티테넌트 합산은 범위 밖입니다</t>
    </r>
    <r>
      <rPr>
        <sz val="11"/>
        <color rgb="FF000000"/>
        <rFont val="Arial"/>
        <family val="0"/>
        <charset val="1"/>
      </rPr>
      <t xml:space="preserve">.</t>
    </r>
  </si>
  <si>
    <r>
      <rPr>
        <b val="true"/>
        <sz val="11"/>
        <color rgb="FF000000"/>
        <rFont val="Arial"/>
        <family val="0"/>
        <charset val="1"/>
      </rPr>
      <t xml:space="preserve">[</t>
    </r>
    <r>
      <rPr>
        <b val="true"/>
        <sz val="11"/>
        <color rgb="FF000000"/>
        <rFont val="나눔고딕"/>
        <family val="2"/>
        <charset val="129"/>
      </rPr>
      <t xml:space="preserve">기본 예시</t>
    </r>
    <r>
      <rPr>
        <b val="true"/>
        <sz val="11"/>
        <color rgb="FF000000"/>
        <rFont val="Arial"/>
        <family val="0"/>
        <charset val="1"/>
      </rPr>
      <t xml:space="preserve">] </t>
    </r>
    <r>
      <rPr>
        <b val="true"/>
        <sz val="11"/>
        <color rgb="FF000000"/>
        <rFont val="나눔고딕"/>
        <family val="2"/>
        <charset val="129"/>
      </rPr>
      <t xml:space="preserve">가이드 </t>
    </r>
    <r>
      <rPr>
        <b val="true"/>
        <sz val="11"/>
        <color rgb="FF000000"/>
        <rFont val="Arial"/>
        <family val="0"/>
        <charset val="1"/>
      </rPr>
      <t xml:space="preserve">docs/08 </t>
    </r>
    <r>
      <rPr>
        <b val="true"/>
        <sz val="11"/>
        <color rgb="FF000000"/>
        <rFont val="나눔고딕"/>
        <family val="2"/>
        <charset val="129"/>
      </rPr>
      <t xml:space="preserve">레퍼런스 시나리오와 같은 입력입니다</t>
    </r>
    <r>
      <rPr>
        <b val="true"/>
        <sz val="11"/>
        <color rgb="FF000000"/>
        <rFont val="Arial"/>
        <family val="0"/>
        <charset val="1"/>
      </rPr>
      <t xml:space="preserve">(1</t>
    </r>
    <r>
      <rPr>
        <b val="true"/>
        <sz val="11"/>
        <color rgb="FF000000"/>
        <rFont val="나눔고딕"/>
        <family val="2"/>
        <charset val="129"/>
      </rPr>
      <t xml:space="preserve">인당 질의 </t>
    </r>
    <r>
      <rPr>
        <b val="true"/>
        <sz val="11"/>
        <color rgb="FF000000"/>
        <rFont val="Arial"/>
        <family val="0"/>
        <charset val="1"/>
      </rPr>
      <t xml:space="preserve">10</t>
    </r>
    <r>
      <rPr>
        <b val="true"/>
        <sz val="11"/>
        <color rgb="FF000000"/>
        <rFont val="나눔고딕"/>
        <family val="2"/>
        <charset val="129"/>
      </rPr>
      <t xml:space="preserve">회 경우</t>
    </r>
    <r>
      <rPr>
        <b val="true"/>
        <sz val="11"/>
        <color rgb="FF000000"/>
        <rFont val="Arial"/>
        <family val="0"/>
        <charset val="1"/>
      </rPr>
      <t xml:space="preserve">).</t>
    </r>
  </si>
  <si>
    <r>
      <rPr>
        <sz val="11"/>
        <color rgb="FF000000"/>
        <rFont val="나눔고딕"/>
        <family val="2"/>
        <charset val="129"/>
      </rPr>
      <t xml:space="preserve">출처</t>
    </r>
    <r>
      <rPr>
        <sz val="11"/>
        <color rgb="FF000000"/>
        <rFont val="Arial"/>
        <family val="0"/>
        <charset val="1"/>
      </rPr>
      <t xml:space="preserve">: https://github.com/JaeHoYun/vcf-private-ai/tree/main/06-sizing-cost  (</t>
    </r>
    <r>
      <rPr>
        <sz val="11"/>
        <color rgb="FF000000"/>
        <rFont val="나눔고딕"/>
        <family val="2"/>
        <charset val="129"/>
      </rPr>
      <t xml:space="preserve">라이선스 </t>
    </r>
    <r>
      <rPr>
        <sz val="11"/>
        <color rgb="FF000000"/>
        <rFont val="Arial"/>
        <family val="0"/>
        <charset val="1"/>
      </rPr>
      <t xml:space="preserve">CC BY 4.0)</t>
    </r>
  </si>
  <si>
    <r>
      <rPr>
        <sz val="11"/>
        <color rgb="FF000000"/>
        <rFont val="나눔고딕"/>
        <family val="2"/>
        <charset val="129"/>
      </rPr>
      <t xml:space="preserve">비공식 문서이며 벤더 공식 입장이 아닙니다</t>
    </r>
    <r>
      <rPr>
        <sz val="11"/>
        <color rgb="FF000000"/>
        <rFont val="Arial"/>
        <family val="0"/>
        <charset val="1"/>
      </rPr>
      <t xml:space="preserve">. </t>
    </r>
    <r>
      <rPr>
        <sz val="11"/>
        <color rgb="FF000000"/>
        <rFont val="나눔고딕"/>
        <family val="2"/>
        <charset val="129"/>
      </rPr>
      <t xml:space="preserve">모든 수치는 어림이며 실측과 견적으로 다시 확인하세요</t>
    </r>
    <r>
      <rPr>
        <sz val="11"/>
        <color rgb="FF000000"/>
        <rFont val="Arial"/>
        <family val="0"/>
        <charset val="1"/>
      </rPr>
      <t xml:space="preserve">.</t>
    </r>
  </si>
  <si>
    <r>
      <rPr>
        <b val="true"/>
        <sz val="12"/>
        <color rgb="FFFFFFFF"/>
        <rFont val="나눔고딕"/>
        <family val="2"/>
        <charset val="129"/>
      </rPr>
      <t xml:space="preserve">입력값 </t>
    </r>
    <r>
      <rPr>
        <b val="true"/>
        <sz val="12"/>
        <color rgb="FFFFFFFF"/>
        <rFont val="Arial"/>
        <family val="0"/>
        <charset val="1"/>
      </rPr>
      <t xml:space="preserve">(</t>
    </r>
    <r>
      <rPr>
        <b val="true"/>
        <sz val="12"/>
        <color rgb="FFFFFFFF"/>
        <rFont val="나눔고딕"/>
        <family val="2"/>
        <charset val="129"/>
      </rPr>
      <t xml:space="preserve">자사 상황에 맞춰 파란 셀을 변경</t>
    </r>
    <r>
      <rPr>
        <b val="true"/>
        <sz val="12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</si>
  <si>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1F3864"/>
        <rFont val="나눔고딕"/>
        <family val="2"/>
        <charset val="129"/>
      </rPr>
      <t xml:space="preserve">워크로드 </t>
    </r>
    <r>
      <rPr>
        <b val="true"/>
        <sz val="11"/>
        <color rgb="FF1F3864"/>
        <rFont val="Arial"/>
        <family val="0"/>
        <charset val="1"/>
      </rPr>
      <t xml:space="preserve">(</t>
    </r>
    <r>
      <rPr>
        <b val="true"/>
        <sz val="11"/>
        <color rgb="FF1F3864"/>
        <rFont val="나눔고딕"/>
        <family val="2"/>
        <charset val="129"/>
      </rPr>
      <t xml:space="preserve">부록 </t>
    </r>
    <r>
      <rPr>
        <b val="true"/>
        <sz val="11"/>
        <color rgb="FF1F3864"/>
        <rFont val="Arial"/>
        <family val="0"/>
        <charset val="1"/>
      </rPr>
      <t xml:space="preserve">A2.1)</t>
    </r>
  </si>
  <si>
    <t xml:space="preserve">도구를 배포받는 인원</t>
  </si>
  <si>
    <t xml:space="preserve">명</t>
  </si>
  <si>
    <t xml:space="preserve">일 활성 비율</t>
  </si>
  <si>
    <r>
      <rPr>
        <i val="true"/>
        <sz val="11"/>
        <color rgb="FF808080"/>
        <rFont val="나눔고딕"/>
        <family val="2"/>
        <charset val="129"/>
      </rPr>
      <t xml:space="preserve">배포 인원 기준 업무일 평균</t>
    </r>
    <r>
      <rPr>
        <i val="true"/>
        <sz val="11"/>
        <color rgb="FF808080"/>
        <rFont val="Arial"/>
        <family val="0"/>
        <charset val="1"/>
      </rPr>
      <t xml:space="preserve">. </t>
    </r>
    <r>
      <rPr>
        <i val="true"/>
        <sz val="11"/>
        <color rgb="FF808080"/>
        <rFont val="나눔고딕"/>
        <family val="2"/>
        <charset val="129"/>
      </rPr>
      <t xml:space="preserve">참고 범위와 구하는 법은 </t>
    </r>
    <r>
      <rPr>
        <i val="true"/>
        <sz val="11"/>
        <color rgb="FF808080"/>
        <rFont val="Arial"/>
        <family val="0"/>
        <charset val="1"/>
      </rPr>
      <t xml:space="preserve">A2.1</t>
    </r>
  </si>
  <si>
    <r>
      <rPr>
        <sz val="11"/>
        <rFont val="나눔고딕"/>
        <family val="2"/>
        <charset val="129"/>
      </rPr>
      <t xml:space="preserve">활성 사용자 </t>
    </r>
    <r>
      <rPr>
        <sz val="11"/>
        <rFont val="Arial"/>
        <family val="0"/>
        <charset val="1"/>
      </rPr>
      <t xml:space="preserve">1</t>
    </r>
    <r>
      <rPr>
        <sz val="11"/>
        <rFont val="나눔고딕"/>
        <family val="2"/>
        <charset val="129"/>
      </rPr>
      <t xml:space="preserve">인당 업무일 질의</t>
    </r>
  </si>
  <si>
    <t xml:space="preserve">회</t>
  </si>
  <si>
    <r>
      <rPr>
        <i val="true"/>
        <sz val="11"/>
        <color rgb="FF808080"/>
        <rFont val="나눔고딕"/>
        <family val="2"/>
        <charset val="129"/>
      </rPr>
      <t xml:space="preserve">가정값</t>
    </r>
    <r>
      <rPr>
        <i val="true"/>
        <sz val="11"/>
        <color rgb="FF808080"/>
        <rFont val="Arial"/>
        <family val="0"/>
        <charset val="1"/>
      </rPr>
      <t xml:space="preserve">. </t>
    </r>
    <r>
      <rPr>
        <i val="true"/>
        <sz val="11"/>
        <color rgb="FF808080"/>
        <rFont val="나눔고딕"/>
        <family val="2"/>
        <charset val="129"/>
      </rPr>
      <t xml:space="preserve">공개 근거 없음</t>
    </r>
    <r>
      <rPr>
        <i val="true"/>
        <sz val="11"/>
        <color rgb="FF808080"/>
        <rFont val="Arial"/>
        <family val="0"/>
        <charset val="1"/>
      </rPr>
      <t xml:space="preserve">, </t>
    </r>
    <r>
      <rPr>
        <i val="true"/>
        <sz val="11"/>
        <color rgb="FF808080"/>
        <rFont val="나눔고딕"/>
        <family val="2"/>
        <charset val="129"/>
      </rPr>
      <t xml:space="preserve">관리 콘솔이나 게이트웨이 로그로 실측</t>
    </r>
  </si>
  <si>
    <t xml:space="preserve">업무시간</t>
  </si>
  <si>
    <t xml:space="preserve">시간</t>
  </si>
  <si>
    <r>
      <rPr>
        <i val="true"/>
        <sz val="11"/>
        <color rgb="FF808080"/>
        <rFont val="나눔고딕"/>
        <family val="2"/>
        <charset val="129"/>
      </rPr>
      <t xml:space="preserve">대화형 트래픽의 업무시간 집중</t>
    </r>
    <r>
      <rPr>
        <i val="true"/>
        <sz val="11"/>
        <color rgb="FF808080"/>
        <rFont val="Arial"/>
        <family val="0"/>
        <charset val="1"/>
      </rPr>
      <t xml:space="preserve">(A2.1)</t>
    </r>
  </si>
  <si>
    <r>
      <rPr>
        <sz val="11"/>
        <rFont val="나눔고딕"/>
        <family val="2"/>
        <charset val="129"/>
      </rPr>
      <t xml:space="preserve">피크</t>
    </r>
    <r>
      <rPr>
        <sz val="11"/>
        <rFont val="Arial"/>
        <family val="0"/>
        <charset val="1"/>
      </rPr>
      <t xml:space="preserve">/</t>
    </r>
    <r>
      <rPr>
        <sz val="11"/>
        <rFont val="나눔고딕"/>
        <family val="2"/>
        <charset val="129"/>
      </rPr>
      <t xml:space="preserve">평균비</t>
    </r>
  </si>
  <si>
    <r>
      <rPr>
        <i val="true"/>
        <sz val="11"/>
        <color rgb="FF808080"/>
        <rFont val="나눔고딕"/>
        <family val="2"/>
        <charset val="129"/>
      </rPr>
      <t xml:space="preserve">공개 근거 없는 보수 가정</t>
    </r>
    <r>
      <rPr>
        <i val="true"/>
        <sz val="11"/>
        <color rgb="FF808080"/>
        <rFont val="Arial"/>
        <family val="0"/>
        <charset val="1"/>
      </rPr>
      <t xml:space="preserve">. </t>
    </r>
    <r>
      <rPr>
        <i val="true"/>
        <sz val="11"/>
        <color rgb="FF808080"/>
        <rFont val="나눔고딕"/>
        <family val="2"/>
        <charset val="129"/>
      </rPr>
      <t xml:space="preserve">시간 단위 피크 계수를 실측</t>
    </r>
  </si>
  <si>
    <t xml:space="preserve">버스트 헤드룸</t>
  </si>
  <si>
    <t xml:space="preserve">A2.1</t>
  </si>
  <si>
    <r>
      <rPr>
        <b val="true"/>
        <sz val="11"/>
        <color rgb="FF1F3864"/>
        <rFont val="나눔고딕"/>
        <family val="2"/>
        <charset val="129"/>
      </rPr>
      <t xml:space="preserve">토큰 </t>
    </r>
    <r>
      <rPr>
        <b val="true"/>
        <sz val="11"/>
        <color rgb="FF1F3864"/>
        <rFont val="Arial"/>
        <family val="0"/>
        <charset val="1"/>
      </rPr>
      <t xml:space="preserve">(</t>
    </r>
    <r>
      <rPr>
        <b val="true"/>
        <sz val="11"/>
        <color rgb="FF1F3864"/>
        <rFont val="나눔고딕"/>
        <family val="2"/>
        <charset val="129"/>
      </rPr>
      <t xml:space="preserve">부록 </t>
    </r>
    <r>
      <rPr>
        <b val="true"/>
        <sz val="11"/>
        <color rgb="FF1F3864"/>
        <rFont val="Arial"/>
        <family val="0"/>
        <charset val="1"/>
      </rPr>
      <t xml:space="preserve">A2.2)</t>
    </r>
  </si>
  <si>
    <t xml:space="preserve">시스템 프롬프트</t>
  </si>
  <si>
    <t xml:space="preserve">토큰</t>
  </si>
  <si>
    <t xml:space="preserve">사용자 질문</t>
  </si>
  <si>
    <t xml:space="preserve">대화 이력</t>
  </si>
  <si>
    <t xml:space="preserve">청크 크기</t>
  </si>
  <si>
    <r>
      <rPr>
        <sz val="11"/>
        <rFont val="나눔고딕"/>
        <family val="2"/>
        <charset val="129"/>
      </rPr>
      <t xml:space="preserve">최종 검색 결과 개수</t>
    </r>
    <r>
      <rPr>
        <sz val="11"/>
        <rFont val="Arial"/>
        <family val="0"/>
        <charset val="1"/>
      </rPr>
      <t xml:space="preserve">(</t>
    </r>
    <r>
      <rPr>
        <sz val="11"/>
        <rFont val="나눔고딕"/>
        <family val="2"/>
        <charset val="129"/>
      </rPr>
      <t xml:space="preserve">리랭크 후</t>
    </r>
    <r>
      <rPr>
        <sz val="11"/>
        <rFont val="Arial"/>
        <family val="0"/>
        <charset val="1"/>
      </rPr>
      <t xml:space="preserve">)</t>
    </r>
  </si>
  <si>
    <t xml:space="preserve">개</t>
  </si>
  <si>
    <t xml:space="preserve">출력 토큰</t>
  </si>
  <si>
    <r>
      <rPr>
        <i val="true"/>
        <sz val="11"/>
        <color rgb="FF808080"/>
        <rFont val="나눔고딕"/>
        <family val="2"/>
        <charset val="129"/>
      </rPr>
      <t xml:space="preserve">보수 산정</t>
    </r>
    <r>
      <rPr>
        <i val="true"/>
        <sz val="11"/>
        <color rgb="FF808080"/>
        <rFont val="Arial"/>
        <family val="0"/>
        <charset val="1"/>
      </rPr>
      <t xml:space="preserve">. </t>
    </r>
    <r>
      <rPr>
        <i val="true"/>
        <sz val="11"/>
        <color rgb="FF808080"/>
        <rFont val="나눔고딕"/>
        <family val="2"/>
        <charset val="129"/>
      </rPr>
      <t xml:space="preserve">평균 산정이면 </t>
    </r>
    <r>
      <rPr>
        <i val="true"/>
        <sz val="11"/>
        <color rgb="FF808080"/>
        <rFont val="Arial"/>
        <family val="0"/>
        <charset val="1"/>
      </rPr>
      <t xml:space="preserve">250–300</t>
    </r>
  </si>
  <si>
    <t xml:space="preserve">한국어 토큰 팽창 계수</t>
  </si>
  <si>
    <t xml:space="preserve">배</t>
  </si>
  <si>
    <r>
      <rPr>
        <i val="true"/>
        <sz val="11"/>
        <color rgb="FF808080"/>
        <rFont val="나눔고딕"/>
        <family val="2"/>
        <charset val="129"/>
      </rPr>
      <t xml:space="preserve">위 토큰을 한국어로 이미 셌으면 </t>
    </r>
    <r>
      <rPr>
        <i val="true"/>
        <sz val="11"/>
        <color rgb="FF808080"/>
        <rFont val="Arial"/>
        <family val="0"/>
        <charset val="1"/>
      </rPr>
      <t xml:space="preserve">1.0, </t>
    </r>
    <r>
      <rPr>
        <i val="true"/>
        <sz val="11"/>
        <color rgb="FF808080"/>
        <rFont val="나눔고딕"/>
        <family val="2"/>
        <charset val="129"/>
      </rPr>
      <t xml:space="preserve">영어 기준 어림이면 </t>
    </r>
    <r>
      <rPr>
        <i val="true"/>
        <sz val="11"/>
        <color rgb="FF808080"/>
        <rFont val="Arial"/>
        <family val="0"/>
        <charset val="1"/>
      </rPr>
      <t xml:space="preserve">1.3–1.7(A2.2)</t>
    </r>
  </si>
  <si>
    <r>
      <rPr>
        <b val="true"/>
        <sz val="11"/>
        <color rgb="FF1F3864"/>
        <rFont val="나눔고딕"/>
        <family val="2"/>
        <charset val="129"/>
      </rPr>
      <t xml:space="preserve">모델 </t>
    </r>
    <r>
      <rPr>
        <b val="true"/>
        <sz val="11"/>
        <color rgb="FF1F3864"/>
        <rFont val="Arial"/>
        <family val="0"/>
        <charset val="1"/>
      </rPr>
      <t xml:space="preserve">(</t>
    </r>
    <r>
      <rPr>
        <b val="true"/>
        <sz val="11"/>
        <color rgb="FF1F3864"/>
        <rFont val="나눔고딕"/>
        <family val="2"/>
        <charset val="129"/>
      </rPr>
      <t xml:space="preserve">부록 </t>
    </r>
    <r>
      <rPr>
        <b val="true"/>
        <sz val="11"/>
        <color rgb="FF1F3864"/>
        <rFont val="Arial"/>
        <family val="0"/>
        <charset val="1"/>
      </rPr>
      <t xml:space="preserve">A2.4, A2.5)</t>
    </r>
  </si>
  <si>
    <t xml:space="preserve">모델 설명</t>
  </si>
  <si>
    <r>
      <rPr>
        <b val="true"/>
        <sz val="11"/>
        <color rgb="FF0000FF"/>
        <rFont val="Arial"/>
        <family val="0"/>
        <charset val="1"/>
      </rPr>
      <t xml:space="preserve">70B dense (</t>
    </r>
    <r>
      <rPr>
        <b val="true"/>
        <sz val="11"/>
        <color rgb="FF0000FF"/>
        <rFont val="나눔고딕"/>
        <family val="2"/>
        <charset val="129"/>
      </rPr>
      <t xml:space="preserve">예</t>
    </r>
    <r>
      <rPr>
        <b val="true"/>
        <sz val="11"/>
        <color rgb="FF0000FF"/>
        <rFont val="Arial"/>
        <family val="0"/>
        <charset val="1"/>
      </rPr>
      <t xml:space="preserve">: Llama 3.1 70B)</t>
    </r>
  </si>
  <si>
    <t xml:space="preserve">산정에는 아래 숫자만 쓰임</t>
  </si>
  <si>
    <t xml:space="preserve">총 파라미터 수</t>
  </si>
  <si>
    <r>
      <rPr>
        <i val="true"/>
        <sz val="11"/>
        <color rgb="FF808080"/>
        <rFont val="Arial"/>
        <family val="0"/>
        <charset val="1"/>
      </rPr>
      <t xml:space="preserve">B(</t>
    </r>
    <r>
      <rPr>
        <i val="true"/>
        <sz val="11"/>
        <color rgb="FF808080"/>
        <rFont val="나눔고딕"/>
        <family val="2"/>
        <charset val="129"/>
      </rPr>
      <t xml:space="preserve">십억</t>
    </r>
    <r>
      <rPr>
        <i val="true"/>
        <sz val="11"/>
        <color rgb="FF808080"/>
        <rFont val="Arial"/>
        <family val="0"/>
        <charset val="1"/>
      </rPr>
      <t xml:space="preserve">)</t>
    </r>
  </si>
  <si>
    <t xml:space="preserve">가중치 정밀도 바이트</t>
  </si>
  <si>
    <t xml:space="preserve">byte</t>
  </si>
  <si>
    <r>
      <rPr>
        <i val="true"/>
        <sz val="11"/>
        <color rgb="FF808080"/>
        <rFont val="Arial"/>
        <family val="0"/>
        <charset val="1"/>
      </rPr>
      <t xml:space="preserve">FP8=1, FP16/BF16=2, 4</t>
    </r>
    <r>
      <rPr>
        <i val="true"/>
        <sz val="11"/>
        <color rgb="FF808080"/>
        <rFont val="나눔고딕"/>
        <family val="2"/>
        <charset val="129"/>
      </rPr>
      <t xml:space="preserve">비트</t>
    </r>
    <r>
      <rPr>
        <i val="true"/>
        <sz val="11"/>
        <color rgb="FF808080"/>
        <rFont val="Arial"/>
        <family val="0"/>
        <charset val="1"/>
      </rPr>
      <t xml:space="preserve">=0.5</t>
    </r>
  </si>
  <si>
    <t xml:space="preserve">레이어 수</t>
  </si>
  <si>
    <t xml:space="preserve">config.json num_hidden_layers</t>
  </si>
  <si>
    <r>
      <rPr>
        <sz val="11"/>
        <rFont val="Arial"/>
        <family val="0"/>
        <charset val="1"/>
      </rPr>
      <t xml:space="preserve">KV </t>
    </r>
    <r>
      <rPr>
        <sz val="11"/>
        <rFont val="나눔고딕"/>
        <family val="2"/>
        <charset val="129"/>
      </rPr>
      <t xml:space="preserve">헤드 수</t>
    </r>
  </si>
  <si>
    <t xml:space="preserve">config.json num_key_value_heads</t>
  </si>
  <si>
    <t xml:space="preserve">head_dim</t>
  </si>
  <si>
    <r>
      <rPr>
        <i val="true"/>
        <sz val="11"/>
        <color rgb="FF808080"/>
        <rFont val="Arial"/>
        <family val="0"/>
        <charset val="1"/>
      </rPr>
      <t xml:space="preserve">config.json head_dim </t>
    </r>
    <r>
      <rPr>
        <i val="true"/>
        <sz val="11"/>
        <color rgb="FF808080"/>
        <rFont val="나눔고딕"/>
        <family val="2"/>
        <charset val="129"/>
      </rPr>
      <t xml:space="preserve">또는 </t>
    </r>
    <r>
      <rPr>
        <i val="true"/>
        <sz val="11"/>
        <color rgb="FF808080"/>
        <rFont val="Arial"/>
        <family val="0"/>
        <charset val="1"/>
      </rPr>
      <t xml:space="preserve">hidden_size ÷ </t>
    </r>
    <r>
      <rPr>
        <i val="true"/>
        <sz val="11"/>
        <color rgb="FF808080"/>
        <rFont val="나눔고딕"/>
        <family val="2"/>
        <charset val="129"/>
      </rPr>
      <t xml:space="preserve">어텐션 헤드 수</t>
    </r>
  </si>
  <si>
    <r>
      <rPr>
        <sz val="11"/>
        <rFont val="Arial"/>
        <family val="0"/>
        <charset val="1"/>
      </rPr>
      <t xml:space="preserve">KV </t>
    </r>
    <r>
      <rPr>
        <sz val="11"/>
        <rFont val="나눔고딕"/>
        <family val="2"/>
        <charset val="129"/>
      </rPr>
      <t xml:space="preserve">캐시 정밀도 바이트</t>
    </r>
  </si>
  <si>
    <t xml:space="preserve">BF16 KV=2, FP8 KV=1</t>
  </si>
  <si>
    <r>
      <rPr>
        <b val="true"/>
        <sz val="11"/>
        <color rgb="FF1F3864"/>
        <rFont val="나눔고딕"/>
        <family val="2"/>
        <charset val="129"/>
      </rPr>
      <t xml:space="preserve">성능 작동점 </t>
    </r>
    <r>
      <rPr>
        <b val="true"/>
        <sz val="11"/>
        <color rgb="FF1F3864"/>
        <rFont val="Arial"/>
        <family val="0"/>
        <charset val="1"/>
      </rPr>
      <t xml:space="preserve">(PoC </t>
    </r>
    <r>
      <rPr>
        <b val="true"/>
        <sz val="11"/>
        <color rgb="FF1F3864"/>
        <rFont val="나눔고딕"/>
        <family val="2"/>
        <charset val="129"/>
      </rPr>
      <t xml:space="preserve">실측으로 교체</t>
    </r>
    <r>
      <rPr>
        <b val="true"/>
        <sz val="11"/>
        <color rgb="FF1F3864"/>
        <rFont val="Arial"/>
        <family val="0"/>
        <charset val="1"/>
      </rPr>
      <t xml:space="preserve">, </t>
    </r>
    <r>
      <rPr>
        <b val="true"/>
        <sz val="11"/>
        <color rgb="FF1F3864"/>
        <rFont val="나눔고딕"/>
        <family val="2"/>
        <charset val="129"/>
      </rPr>
      <t xml:space="preserve">부록 </t>
    </r>
    <r>
      <rPr>
        <b val="true"/>
        <sz val="11"/>
        <color rgb="FF1F3864"/>
        <rFont val="Arial"/>
        <family val="0"/>
        <charset val="1"/>
      </rPr>
      <t xml:space="preserve">A2.3)</t>
    </r>
  </si>
  <si>
    <r>
      <rPr>
        <sz val="11"/>
        <rFont val="나눔고딕"/>
        <family val="2"/>
        <charset val="129"/>
      </rPr>
      <t xml:space="preserve">측정 조건</t>
    </r>
    <r>
      <rPr>
        <sz val="11"/>
        <rFont val="Arial"/>
        <family val="0"/>
        <charset val="1"/>
      </rPr>
      <t xml:space="preserve">: </t>
    </r>
    <r>
      <rPr>
        <sz val="11"/>
        <rFont val="나눔고딕"/>
        <family val="2"/>
        <charset val="129"/>
      </rPr>
      <t xml:space="preserve">입력 토큰</t>
    </r>
  </si>
  <si>
    <t xml:space="preserve">아래 값을 잰 조건</t>
  </si>
  <si>
    <r>
      <rPr>
        <sz val="11"/>
        <rFont val="나눔고딕"/>
        <family val="2"/>
        <charset val="129"/>
      </rPr>
      <t xml:space="preserve">측정 조건</t>
    </r>
    <r>
      <rPr>
        <sz val="11"/>
        <rFont val="Arial"/>
        <family val="0"/>
        <charset val="1"/>
      </rPr>
      <t xml:space="preserve">: </t>
    </r>
    <r>
      <rPr>
        <sz val="11"/>
        <rFont val="나눔고딕"/>
        <family val="2"/>
        <charset val="129"/>
      </rPr>
      <t xml:space="preserve">출력 토큰</t>
    </r>
  </si>
  <si>
    <t xml:space="preserve">지연 목표를 지키는 복제본당 동시성</t>
  </si>
  <si>
    <t xml:space="preserve">요청</t>
  </si>
  <si>
    <r>
      <rPr>
        <i val="true"/>
        <sz val="11"/>
        <color rgb="FF808080"/>
        <rFont val="나눔고딕"/>
        <family val="2"/>
        <charset val="129"/>
      </rPr>
      <t xml:space="preserve">기본값</t>
    </r>
    <r>
      <rPr>
        <i val="true"/>
        <sz val="11"/>
        <color rgb="FF808080"/>
        <rFont val="Arial"/>
        <family val="0"/>
        <charset val="1"/>
      </rPr>
      <t xml:space="preserve">: NVIDIA NIM </t>
    </r>
    <r>
      <rPr>
        <i val="true"/>
        <sz val="11"/>
        <color rgb="FF808080"/>
        <rFont val="나눔고딕"/>
        <family val="2"/>
        <charset val="129"/>
      </rPr>
      <t xml:space="preserve">공개 측정</t>
    </r>
    <r>
      <rPr>
        <i val="true"/>
        <sz val="11"/>
        <color rgb="FF808080"/>
        <rFont val="Arial"/>
        <family val="0"/>
        <charset val="1"/>
      </rPr>
      <t xml:space="preserve">, 70B FP8, H100 4</t>
    </r>
    <r>
      <rPr>
        <i val="true"/>
        <sz val="11"/>
        <color rgb="FF808080"/>
        <rFont val="나눔고딕"/>
        <family val="2"/>
        <charset val="129"/>
      </rPr>
      <t xml:space="preserve">장</t>
    </r>
    <r>
      <rPr>
        <i val="true"/>
        <sz val="11"/>
        <color rgb="FF808080"/>
        <rFont val="Arial"/>
        <family val="0"/>
        <charset val="1"/>
      </rPr>
      <t xml:space="preserve">, </t>
    </r>
    <r>
      <rPr>
        <i val="true"/>
        <sz val="11"/>
        <color rgb="FF808080"/>
        <rFont val="나눔고딕"/>
        <family val="2"/>
        <charset val="129"/>
      </rPr>
      <t xml:space="preserve">동시성 </t>
    </r>
    <r>
      <rPr>
        <i val="true"/>
        <sz val="11"/>
        <color rgb="FF808080"/>
        <rFont val="Arial"/>
        <family val="0"/>
        <charset val="1"/>
      </rPr>
      <t xml:space="preserve">50</t>
    </r>
  </si>
  <si>
    <t xml:space="preserve">그 동시성에서 첫 토큰 시간</t>
  </si>
  <si>
    <t xml:space="preserve">ms</t>
  </si>
  <si>
    <r>
      <rPr>
        <i val="true"/>
        <sz val="11"/>
        <color rgb="FF808080"/>
        <rFont val="나눔고딕"/>
        <family val="2"/>
        <charset val="129"/>
      </rPr>
      <t xml:space="preserve">동 측정 </t>
    </r>
    <r>
      <rPr>
        <i val="true"/>
        <sz val="11"/>
        <color rgb="FF808080"/>
        <rFont val="Arial"/>
        <family val="0"/>
        <charset val="1"/>
      </rPr>
      <t xml:space="preserve">952.43ms</t>
    </r>
  </si>
  <si>
    <t xml:space="preserve">그 동시성에서 토큰 간 지연</t>
  </si>
  <si>
    <r>
      <rPr>
        <i val="true"/>
        <sz val="11"/>
        <color rgb="FF808080"/>
        <rFont val="나눔고딕"/>
        <family val="2"/>
        <charset val="129"/>
      </rPr>
      <t xml:space="preserve">동 측정 </t>
    </r>
    <r>
      <rPr>
        <i val="true"/>
        <sz val="11"/>
        <color rgb="FF808080"/>
        <rFont val="Arial"/>
        <family val="0"/>
        <charset val="1"/>
      </rPr>
      <t xml:space="preserve">40.13ms</t>
    </r>
  </si>
  <si>
    <r>
      <rPr>
        <sz val="11"/>
        <rFont val="나눔고딕"/>
        <family val="2"/>
        <charset val="129"/>
      </rPr>
      <t xml:space="preserve">지연 목표</t>
    </r>
    <r>
      <rPr>
        <sz val="11"/>
        <rFont val="Arial"/>
        <family val="0"/>
        <charset val="1"/>
      </rPr>
      <t xml:space="preserve">: </t>
    </r>
    <r>
      <rPr>
        <sz val="11"/>
        <rFont val="나눔고딕"/>
        <family val="2"/>
        <charset val="129"/>
      </rPr>
      <t xml:space="preserve">첫 토큰 시간</t>
    </r>
  </si>
  <si>
    <t xml:space="preserve">A2.3</t>
  </si>
  <si>
    <r>
      <rPr>
        <sz val="11"/>
        <rFont val="나눔고딕"/>
        <family val="2"/>
        <charset val="129"/>
      </rPr>
      <t xml:space="preserve">지연 목표</t>
    </r>
    <r>
      <rPr>
        <sz val="11"/>
        <rFont val="Arial"/>
        <family val="0"/>
        <charset val="1"/>
      </rPr>
      <t xml:space="preserve">: </t>
    </r>
    <r>
      <rPr>
        <sz val="11"/>
        <rFont val="나눔고딕"/>
        <family val="2"/>
        <charset val="129"/>
      </rPr>
      <t xml:space="preserve">토큰 간 지연</t>
    </r>
  </si>
  <si>
    <r>
      <rPr>
        <i val="true"/>
        <sz val="11"/>
        <color rgb="FF808080"/>
        <rFont val="Arial"/>
        <family val="0"/>
        <charset val="1"/>
      </rPr>
      <t xml:space="preserve">A2.3 (</t>
    </r>
    <r>
      <rPr>
        <i val="true"/>
        <sz val="11"/>
        <color rgb="FF808080"/>
        <rFont val="나눔고딕"/>
        <family val="2"/>
        <charset val="129"/>
      </rPr>
      <t xml:space="preserve">초당 </t>
    </r>
    <r>
      <rPr>
        <i val="true"/>
        <sz val="11"/>
        <color rgb="FF808080"/>
        <rFont val="Arial"/>
        <family val="0"/>
        <charset val="1"/>
      </rPr>
      <t xml:space="preserve">10</t>
    </r>
    <r>
      <rPr>
        <i val="true"/>
        <sz val="11"/>
        <color rgb="FF808080"/>
        <rFont val="나눔고딕"/>
        <family val="2"/>
        <charset val="129"/>
      </rPr>
      <t xml:space="preserve">토큰 이상</t>
    </r>
    <r>
      <rPr>
        <i val="true"/>
        <sz val="11"/>
        <color rgb="FF808080"/>
        <rFont val="Arial"/>
        <family val="0"/>
        <charset val="1"/>
      </rPr>
      <t xml:space="preserve">)</t>
    </r>
  </si>
  <si>
    <r>
      <rPr>
        <b val="true"/>
        <sz val="11"/>
        <color rgb="FF1F3864"/>
        <rFont val="Arial"/>
        <family val="0"/>
        <charset val="1"/>
      </rPr>
      <t xml:space="preserve">GPU</t>
    </r>
    <r>
      <rPr>
        <b val="true"/>
        <sz val="11"/>
        <color rgb="FF1F3864"/>
        <rFont val="나눔고딕"/>
        <family val="2"/>
        <charset val="129"/>
      </rPr>
      <t xml:space="preserve">와 호스트 </t>
    </r>
    <r>
      <rPr>
        <b val="true"/>
        <sz val="11"/>
        <color rgb="FF1F3864"/>
        <rFont val="Arial"/>
        <family val="0"/>
        <charset val="1"/>
      </rPr>
      <t xml:space="preserve">(</t>
    </r>
    <r>
      <rPr>
        <b val="true"/>
        <sz val="11"/>
        <color rgb="FF1F3864"/>
        <rFont val="나눔고딕"/>
        <family val="2"/>
        <charset val="129"/>
      </rPr>
      <t xml:space="preserve">가이드 </t>
    </r>
    <r>
      <rPr>
        <b val="true"/>
        <sz val="11"/>
        <color rgb="FF1F3864"/>
        <rFont val="Arial"/>
        <family val="0"/>
        <charset val="1"/>
      </rPr>
      <t xml:space="preserve">02, 04)</t>
    </r>
  </si>
  <si>
    <r>
      <rPr>
        <sz val="11"/>
        <rFont val="Arial"/>
        <family val="0"/>
        <charset val="1"/>
      </rPr>
      <t xml:space="preserve">GPU </t>
    </r>
    <r>
      <rPr>
        <sz val="11"/>
        <rFont val="나눔고딕"/>
        <family val="2"/>
        <charset val="129"/>
      </rPr>
      <t xml:space="preserve">메모리</t>
    </r>
  </si>
  <si>
    <t xml:space="preserve">GB</t>
  </si>
  <si>
    <r>
      <rPr>
        <sz val="11"/>
        <rFont val="나눔고딕"/>
        <family val="2"/>
        <charset val="129"/>
      </rPr>
      <t xml:space="preserve">복제본당 </t>
    </r>
    <r>
      <rPr>
        <sz val="11"/>
        <rFont val="Arial"/>
        <family val="0"/>
        <charset val="1"/>
      </rPr>
      <t xml:space="preserve">GPU</t>
    </r>
  </si>
  <si>
    <t xml:space="preserve">장</t>
  </si>
  <si>
    <r>
      <rPr>
        <i val="true"/>
        <sz val="11"/>
        <color rgb="FF808080"/>
        <rFont val="나눔고딕"/>
        <family val="2"/>
        <charset val="129"/>
      </rPr>
      <t xml:space="preserve">텐서 병렬 수</t>
    </r>
    <r>
      <rPr>
        <i val="true"/>
        <sz val="11"/>
        <color rgb="FF808080"/>
        <rFont val="Arial"/>
        <family val="0"/>
        <charset val="1"/>
      </rPr>
      <t xml:space="preserve">. </t>
    </r>
    <r>
      <rPr>
        <i val="true"/>
        <sz val="11"/>
        <color rgb="FF808080"/>
        <rFont val="나눔고딕"/>
        <family val="2"/>
        <charset val="129"/>
      </rPr>
      <t xml:space="preserve">호스트 안에서 </t>
    </r>
    <r>
      <rPr>
        <i val="true"/>
        <sz val="11"/>
        <color rgb="FF808080"/>
        <rFont val="Arial"/>
        <family val="0"/>
        <charset val="1"/>
      </rPr>
      <t xml:space="preserve">NVLink</t>
    </r>
    <r>
      <rPr>
        <i val="true"/>
        <sz val="11"/>
        <color rgb="FF808080"/>
        <rFont val="나눔고딕"/>
        <family val="2"/>
        <charset val="129"/>
      </rPr>
      <t xml:space="preserve">로 묶임</t>
    </r>
  </si>
  <si>
    <r>
      <rPr>
        <sz val="11"/>
        <rFont val="나눔고딕"/>
        <family val="2"/>
        <charset val="129"/>
      </rPr>
      <t xml:space="preserve">호스트당 장착 </t>
    </r>
    <r>
      <rPr>
        <sz val="11"/>
        <rFont val="Arial"/>
        <family val="0"/>
        <charset val="1"/>
      </rPr>
      <t xml:space="preserve">GPU</t>
    </r>
  </si>
  <si>
    <r>
      <rPr>
        <sz val="11"/>
        <rFont val="나눔고딕"/>
        <family val="2"/>
        <charset val="129"/>
      </rPr>
      <t xml:space="preserve">임베딩과 리랭커용 </t>
    </r>
    <r>
      <rPr>
        <sz val="11"/>
        <rFont val="Arial"/>
        <family val="0"/>
        <charset val="1"/>
      </rPr>
      <t xml:space="preserve">GPU</t>
    </r>
  </si>
  <si>
    <r>
      <rPr>
        <i val="true"/>
        <sz val="11"/>
        <color rgb="FF808080"/>
        <rFont val="Arial"/>
        <family val="0"/>
        <charset val="1"/>
      </rPr>
      <t xml:space="preserve">CPU</t>
    </r>
    <r>
      <rPr>
        <i val="true"/>
        <sz val="11"/>
        <color rgb="FF808080"/>
        <rFont val="나눔고딕"/>
        <family val="2"/>
        <charset val="129"/>
      </rPr>
      <t xml:space="preserve">로 돌리면 </t>
    </r>
    <r>
      <rPr>
        <i val="true"/>
        <sz val="11"/>
        <color rgb="FF808080"/>
        <rFont val="Arial"/>
        <family val="0"/>
        <charset val="1"/>
      </rPr>
      <t xml:space="preserve">0 (04 4.3</t>
    </r>
    <r>
      <rPr>
        <i val="true"/>
        <sz val="11"/>
        <color rgb="FF808080"/>
        <rFont val="나눔고딕"/>
        <family val="2"/>
        <charset val="129"/>
      </rPr>
      <t xml:space="preserve">절 </t>
    </r>
    <r>
      <rPr>
        <i val="true"/>
        <sz val="11"/>
        <color rgb="FF808080"/>
        <rFont val="Arial"/>
        <family val="0"/>
        <charset val="1"/>
      </rPr>
      <t xml:space="preserve">N3)</t>
    </r>
  </si>
  <si>
    <r>
      <rPr>
        <sz val="11"/>
        <rFont val="나눔고딕"/>
        <family val="2"/>
        <charset val="129"/>
      </rPr>
      <t xml:space="preserve">가용성 추가 복제본</t>
    </r>
    <r>
      <rPr>
        <sz val="11"/>
        <rFont val="Arial"/>
        <family val="0"/>
        <charset val="1"/>
      </rPr>
      <t xml:space="preserve">(N+1)</t>
    </r>
  </si>
  <si>
    <r>
      <rPr>
        <sz val="11"/>
        <rFont val="Arial"/>
        <family val="0"/>
        <charset val="1"/>
      </rPr>
      <t xml:space="preserve">GPU </t>
    </r>
    <r>
      <rPr>
        <sz val="11"/>
        <rFont val="나눔고딕"/>
        <family val="2"/>
        <charset val="129"/>
      </rPr>
      <t xml:space="preserve">할당 방식</t>
    </r>
  </si>
  <si>
    <t xml:space="preserve">DirectPath</t>
  </si>
  <si>
    <r>
      <rPr>
        <i val="true"/>
        <sz val="11"/>
        <color rgb="FF808080"/>
        <rFont val="Arial"/>
        <family val="0"/>
        <charset val="1"/>
      </rPr>
      <t xml:space="preserve">DirectPath </t>
    </r>
    <r>
      <rPr>
        <i val="true"/>
        <sz val="11"/>
        <color rgb="FF808080"/>
        <rFont val="나눔고딕"/>
        <family val="2"/>
        <charset val="129"/>
      </rPr>
      <t xml:space="preserve">또는 </t>
    </r>
    <r>
      <rPr>
        <i val="true"/>
        <sz val="11"/>
        <color rgb="FF808080"/>
        <rFont val="Arial"/>
        <family val="0"/>
        <charset val="1"/>
      </rPr>
      <t xml:space="preserve">vGPU (07 7.2</t>
    </r>
    <r>
      <rPr>
        <i val="true"/>
        <sz val="11"/>
        <color rgb="FF808080"/>
        <rFont val="나눔고딕"/>
        <family val="2"/>
        <charset val="129"/>
      </rPr>
      <t xml:space="preserve">절</t>
    </r>
    <r>
      <rPr>
        <i val="true"/>
        <sz val="11"/>
        <color rgb="FF808080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</si>
  <si>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NIM </t>
    </r>
    <r>
      <rPr>
        <sz val="11"/>
        <rFont val="나눔고딕"/>
        <family val="2"/>
        <charset val="129"/>
      </rPr>
      <t xml:space="preserve">등 </t>
    </r>
    <r>
      <rPr>
        <sz val="11"/>
        <rFont val="Arial"/>
        <family val="0"/>
        <charset val="1"/>
      </rPr>
      <t xml:space="preserve">NVAIE </t>
    </r>
    <r>
      <rPr>
        <sz val="11"/>
        <rFont val="나눔고딕"/>
        <family val="2"/>
        <charset val="129"/>
      </rPr>
      <t xml:space="preserve">소프트웨어 사용</t>
    </r>
  </si>
  <si>
    <t xml:space="preserve">예</t>
  </si>
  <si>
    <r>
      <rPr>
        <i val="true"/>
        <sz val="11"/>
        <color rgb="FF808080"/>
        <rFont val="나눔고딕"/>
        <family val="2"/>
        <charset val="129"/>
      </rPr>
      <t xml:space="preserve">예 또는 아니오</t>
    </r>
    <r>
      <rPr>
        <i val="true"/>
        <sz val="11"/>
        <color rgb="FF808080"/>
        <rFont val="Arial"/>
        <family val="0"/>
        <charset val="1"/>
      </rPr>
      <t xml:space="preserve">. </t>
    </r>
    <r>
      <rPr>
        <i val="true"/>
        <sz val="11"/>
        <color rgb="FF808080"/>
        <rFont val="나눔고딕"/>
        <family val="2"/>
        <charset val="129"/>
      </rPr>
      <t xml:space="preserve">기본 성능 작동점이 </t>
    </r>
    <r>
      <rPr>
        <i val="true"/>
        <sz val="11"/>
        <color rgb="FF808080"/>
        <rFont val="Arial"/>
        <family val="0"/>
        <charset val="1"/>
      </rPr>
      <t xml:space="preserve">NIM </t>
    </r>
    <r>
      <rPr>
        <i val="true"/>
        <sz val="11"/>
        <color rgb="FF808080"/>
        <rFont val="나눔고딕"/>
        <family val="2"/>
        <charset val="129"/>
      </rPr>
      <t xml:space="preserve">측정값이라 기본값은 예</t>
    </r>
  </si>
  <si>
    <t xml:space="preserve">클러스터 배치</t>
  </si>
  <si>
    <t xml:space="preserve">통합형</t>
  </si>
  <si>
    <r>
      <rPr>
        <i val="true"/>
        <sz val="11"/>
        <color rgb="FF808080"/>
        <rFont val="나눔고딕"/>
        <family val="2"/>
        <charset val="129"/>
      </rPr>
      <t xml:space="preserve">통합형 또는 분리형 </t>
    </r>
    <r>
      <rPr>
        <i val="true"/>
        <sz val="11"/>
        <color rgb="FF808080"/>
        <rFont val="Arial"/>
        <family val="0"/>
        <charset val="1"/>
      </rPr>
      <t xml:space="preserve">(04 4.1</t>
    </r>
    <r>
      <rPr>
        <i val="true"/>
        <sz val="11"/>
        <color rgb="FF808080"/>
        <rFont val="나눔고딕"/>
        <family val="2"/>
        <charset val="129"/>
      </rPr>
      <t xml:space="preserve">절</t>
    </r>
    <r>
      <rPr>
        <i val="true"/>
        <sz val="11"/>
        <color rgb="FF808080"/>
        <rFont val="Arial"/>
        <family val="0"/>
        <charset val="1"/>
      </rPr>
      <t xml:space="preserve">)</t>
    </r>
  </si>
  <si>
    <r>
      <rPr>
        <sz val="11"/>
        <rFont val="나눔고딕"/>
        <family val="2"/>
        <charset val="129"/>
      </rPr>
      <t xml:space="preserve">분리형일 때 비</t>
    </r>
    <r>
      <rPr>
        <sz val="11"/>
        <rFont val="Arial"/>
        <family val="0"/>
        <charset val="1"/>
      </rPr>
      <t xml:space="preserve">GPU </t>
    </r>
    <r>
      <rPr>
        <sz val="11"/>
        <rFont val="나눔고딕"/>
        <family val="2"/>
        <charset val="129"/>
      </rPr>
      <t xml:space="preserve">호스트 수</t>
    </r>
  </si>
  <si>
    <t xml:space="preserve">대</t>
  </si>
  <si>
    <t xml:space="preserve">호스트당 물리 코어</t>
  </si>
  <si>
    <t xml:space="preserve">코어</t>
  </si>
  <si>
    <t xml:space="preserve">서버 사양</t>
  </si>
  <si>
    <t xml:space="preserve">호스트당 소켓 수</t>
  </si>
  <si>
    <r>
      <rPr>
        <b val="true"/>
        <sz val="11"/>
        <color rgb="FF1F3864"/>
        <rFont val="나눔고딕"/>
        <family val="2"/>
        <charset val="129"/>
      </rPr>
      <t xml:space="preserve">스토리지 </t>
    </r>
    <r>
      <rPr>
        <b val="true"/>
        <sz val="11"/>
        <color rgb="FF1F3864"/>
        <rFont val="Arial"/>
        <family val="0"/>
        <charset val="1"/>
      </rPr>
      <t xml:space="preserve">(</t>
    </r>
    <r>
      <rPr>
        <b val="true"/>
        <sz val="11"/>
        <color rgb="FF1F3864"/>
        <rFont val="나눔고딕"/>
        <family val="2"/>
        <charset val="129"/>
      </rPr>
      <t xml:space="preserve">가이드 </t>
    </r>
    <r>
      <rPr>
        <b val="true"/>
        <sz val="11"/>
        <color rgb="FF1F3864"/>
        <rFont val="Arial"/>
        <family val="0"/>
        <charset val="1"/>
      </rPr>
      <t xml:space="preserve">05)</t>
    </r>
  </si>
  <si>
    <t xml:space="preserve">문서 원문 저장 용량</t>
  </si>
  <si>
    <r>
      <rPr>
        <i val="true"/>
        <sz val="11"/>
        <color rgb="FF808080"/>
        <rFont val="나눔고딕"/>
        <family val="2"/>
        <charset val="129"/>
      </rPr>
      <t xml:space="preserve">원문 저장 산정용</t>
    </r>
    <r>
      <rPr>
        <i val="true"/>
        <sz val="11"/>
        <color rgb="FF808080"/>
        <rFont val="Arial"/>
        <family val="0"/>
        <charset val="1"/>
      </rPr>
      <t xml:space="preserve">. </t>
    </r>
    <r>
      <rPr>
        <i val="true"/>
        <sz val="11"/>
        <color rgb="FF808080"/>
        <rFont val="나눔고딕"/>
        <family val="2"/>
        <charset val="129"/>
      </rPr>
      <t xml:space="preserve">벡터 수 추정에는 쓰지 않음</t>
    </r>
  </si>
  <si>
    <t xml:space="preserve">벡터 수</t>
  </si>
  <si>
    <t xml:space="preserve">건</t>
  </si>
  <si>
    <r>
      <rPr>
        <i val="true"/>
        <sz val="11"/>
        <color rgb="FF808080"/>
        <rFont val="나눔고딕"/>
        <family val="2"/>
        <charset val="129"/>
      </rPr>
      <t xml:space="preserve">색인 범위 시나리오와 표본 실측</t>
    </r>
    <r>
      <rPr>
        <i val="true"/>
        <sz val="11"/>
        <color rgb="FF808080"/>
        <rFont val="Arial"/>
        <family val="0"/>
        <charset val="1"/>
      </rPr>
      <t xml:space="preserve">(05 5.2</t>
    </r>
    <r>
      <rPr>
        <i val="true"/>
        <sz val="11"/>
        <color rgb="FF808080"/>
        <rFont val="나눔고딕"/>
        <family val="2"/>
        <charset val="129"/>
      </rPr>
      <t xml:space="preserve">절</t>
    </r>
    <r>
      <rPr>
        <i val="true"/>
        <sz val="11"/>
        <color rgb="FF808080"/>
        <rFont val="Arial"/>
        <family val="0"/>
        <charset val="1"/>
      </rPr>
      <t xml:space="preserve">)</t>
    </r>
  </si>
  <si>
    <t xml:space="preserve">벡터 차원</t>
  </si>
  <si>
    <t xml:space="preserve">임베딩 모델 사양</t>
  </si>
  <si>
    <t xml:space="preserve">모델 보존 버전 수</t>
  </si>
  <si>
    <r>
      <rPr>
        <i val="true"/>
        <sz val="11"/>
        <color rgb="FF808080"/>
        <rFont val="Arial"/>
        <family val="0"/>
        <charset val="1"/>
      </rPr>
      <t xml:space="preserve">05 5.1</t>
    </r>
    <r>
      <rPr>
        <i val="true"/>
        <sz val="11"/>
        <color rgb="FF808080"/>
        <rFont val="나눔고딕"/>
        <family val="2"/>
        <charset val="129"/>
      </rPr>
      <t xml:space="preserve">절</t>
    </r>
  </si>
  <si>
    <t xml:space="preserve">컨테이너 이미지</t>
  </si>
  <si>
    <t xml:space="preserve">확인 필요</t>
  </si>
  <si>
    <r>
      <rPr>
        <sz val="11"/>
        <rFont val="나눔고딕"/>
        <family val="2"/>
        <charset val="129"/>
      </rPr>
      <t xml:space="preserve">로그와 관측</t>
    </r>
    <r>
      <rPr>
        <sz val="11"/>
        <rFont val="Arial"/>
        <family val="0"/>
        <charset val="1"/>
      </rPr>
      <t xml:space="preserve">(</t>
    </r>
    <r>
      <rPr>
        <sz val="11"/>
        <rFont val="나눔고딕"/>
        <family val="2"/>
        <charset val="129"/>
      </rPr>
      <t xml:space="preserve">보존 기간분</t>
    </r>
    <r>
      <rPr>
        <sz val="11"/>
        <rFont val="Arial"/>
        <family val="0"/>
        <charset val="1"/>
      </rPr>
      <t xml:space="preserve">)</t>
    </r>
  </si>
  <si>
    <t xml:space="preserve">보존 정책 의존</t>
  </si>
  <si>
    <r>
      <rPr>
        <b val="true"/>
        <sz val="12"/>
        <color rgb="FFFFFFFF"/>
        <rFont val="나눔고딕"/>
        <family val="2"/>
        <charset val="129"/>
      </rPr>
      <t xml:space="preserve">상수 </t>
    </r>
    <r>
      <rPr>
        <b val="true"/>
        <sz val="12"/>
        <color rgb="FFFFFFFF"/>
        <rFont val="Arial"/>
        <family val="0"/>
        <charset val="1"/>
      </rPr>
      <t xml:space="preserve">(</t>
    </r>
    <r>
      <rPr>
        <b val="true"/>
        <sz val="12"/>
        <color rgb="FFFFFFFF"/>
        <rFont val="나눔고딕"/>
        <family val="2"/>
        <charset val="129"/>
      </rPr>
      <t xml:space="preserve">플랫폼 규칙과 보수 계수</t>
    </r>
    <r>
      <rPr>
        <b val="true"/>
        <sz val="12"/>
        <color rgb="FFFFFFFF"/>
        <rFont val="Arial"/>
        <family val="0"/>
        <charset val="1"/>
      </rPr>
      <t xml:space="preserve">. </t>
    </r>
    <r>
      <rPr>
        <b val="true"/>
        <sz val="12"/>
        <color rgb="FFFFFFFF"/>
        <rFont val="나눔고딕"/>
        <family val="2"/>
        <charset val="129"/>
      </rPr>
      <t xml:space="preserve">특별한 사유가 없으면 그대로</t>
    </r>
    <r>
      <rPr>
        <b val="true"/>
        <sz val="12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</si>
  <si>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1F3864"/>
        <rFont val="Arial"/>
        <family val="0"/>
        <charset val="1"/>
      </rPr>
      <t xml:space="preserve">GPU </t>
    </r>
    <r>
      <rPr>
        <b val="true"/>
        <sz val="11"/>
        <color rgb="FF1F3864"/>
        <rFont val="나눔고딕"/>
        <family val="2"/>
        <charset val="129"/>
      </rPr>
      <t xml:space="preserve">메모리 </t>
    </r>
    <r>
      <rPr>
        <b val="true"/>
        <sz val="11"/>
        <color rgb="FF1F3864"/>
        <rFont val="Arial"/>
        <family val="0"/>
        <charset val="1"/>
      </rPr>
      <t xml:space="preserve">(</t>
    </r>
    <r>
      <rPr>
        <b val="true"/>
        <sz val="11"/>
        <color rgb="FF1F3864"/>
        <rFont val="나눔고딕"/>
        <family val="2"/>
        <charset val="129"/>
      </rPr>
      <t xml:space="preserve">가이드 </t>
    </r>
    <r>
      <rPr>
        <b val="true"/>
        <sz val="11"/>
        <color rgb="FF1F3864"/>
        <rFont val="Arial"/>
        <family val="0"/>
        <charset val="1"/>
      </rPr>
      <t xml:space="preserve">02)</t>
    </r>
  </si>
  <si>
    <t xml:space="preserve">gpu_memory_utilization</t>
  </si>
  <si>
    <r>
      <rPr>
        <i val="true"/>
        <sz val="11"/>
        <color rgb="FF808080"/>
        <rFont val="Arial"/>
        <family val="0"/>
        <charset val="1"/>
      </rPr>
      <t xml:space="preserve">vLLM </t>
    </r>
    <r>
      <rPr>
        <i val="true"/>
        <sz val="11"/>
        <color rgb="FF808080"/>
        <rFont val="나눔고딕"/>
        <family val="2"/>
        <charset val="129"/>
      </rPr>
      <t xml:space="preserve">기본값 </t>
    </r>
    <r>
      <rPr>
        <i val="true"/>
        <sz val="11"/>
        <color rgb="FF808080"/>
        <rFont val="Arial"/>
        <family val="0"/>
        <charset val="1"/>
      </rPr>
      <t xml:space="preserve">(02 2.1</t>
    </r>
    <r>
      <rPr>
        <i val="true"/>
        <sz val="11"/>
        <color rgb="FF808080"/>
        <rFont val="나눔고딕"/>
        <family val="2"/>
        <charset val="129"/>
      </rPr>
      <t xml:space="preserve">절</t>
    </r>
    <r>
      <rPr>
        <i val="true"/>
        <sz val="11"/>
        <color rgb="FF808080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</si>
  <si>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GPU</t>
    </r>
    <r>
      <rPr>
        <sz val="11"/>
        <rFont val="나눔고딕"/>
        <family val="2"/>
        <charset val="129"/>
      </rPr>
      <t xml:space="preserve">당 활성화와 오버헤드</t>
    </r>
  </si>
  <si>
    <t xml:space="preserve">어림</t>
  </si>
  <si>
    <r>
      <rPr>
        <sz val="11"/>
        <rFont val="Arial"/>
        <family val="0"/>
        <charset val="1"/>
      </rPr>
      <t xml:space="preserve">GPU </t>
    </r>
    <r>
      <rPr>
        <sz val="11"/>
        <rFont val="나눔고딕"/>
        <family val="2"/>
        <charset val="129"/>
      </rPr>
      <t xml:space="preserve">메모리 </t>
    </r>
    <r>
      <rPr>
        <sz val="11"/>
        <rFont val="Arial"/>
        <family val="0"/>
        <charset val="1"/>
      </rPr>
      <t xml:space="preserve">÷ </t>
    </r>
    <r>
      <rPr>
        <sz val="11"/>
        <rFont val="나눔고딕"/>
        <family val="2"/>
        <charset val="129"/>
      </rPr>
      <t xml:space="preserve">가중치 점검값</t>
    </r>
  </si>
  <si>
    <r>
      <rPr>
        <i val="true"/>
        <sz val="11"/>
        <color rgb="FF808080"/>
        <rFont val="Arial"/>
        <family val="0"/>
        <charset val="1"/>
      </rPr>
      <t xml:space="preserve">VCF 9.1 </t>
    </r>
    <r>
      <rPr>
        <i val="true"/>
        <sz val="11"/>
        <color rgb="FF808080"/>
        <rFont val="나눔고딕"/>
        <family val="2"/>
        <charset val="129"/>
      </rPr>
      <t xml:space="preserve">설계 </t>
    </r>
    <r>
      <rPr>
        <i val="true"/>
        <sz val="11"/>
        <color rgb="FF808080"/>
        <rFont val="Arial"/>
        <family val="0"/>
        <charset val="1"/>
      </rPr>
      <t xml:space="preserve">PAIF-ACC-RCMD-001</t>
    </r>
  </si>
  <si>
    <r>
      <rPr>
        <b val="true"/>
        <sz val="11"/>
        <color rgb="FF1F3864"/>
        <rFont val="나눔고딕"/>
        <family val="2"/>
        <charset val="129"/>
      </rPr>
      <t xml:space="preserve">가용성과 클러스터 </t>
    </r>
    <r>
      <rPr>
        <b val="true"/>
        <sz val="11"/>
        <color rgb="FF1F3864"/>
        <rFont val="Arial"/>
        <family val="0"/>
        <charset val="1"/>
      </rPr>
      <t xml:space="preserve">(</t>
    </r>
    <r>
      <rPr>
        <b val="true"/>
        <sz val="11"/>
        <color rgb="FF1F3864"/>
        <rFont val="나눔고딕"/>
        <family val="2"/>
        <charset val="129"/>
      </rPr>
      <t xml:space="preserve">가이드 </t>
    </r>
    <r>
      <rPr>
        <b val="true"/>
        <sz val="11"/>
        <color rgb="FF1F3864"/>
        <rFont val="Arial"/>
        <family val="0"/>
        <charset val="1"/>
      </rPr>
      <t xml:space="preserve">04)</t>
    </r>
  </si>
  <si>
    <t xml:space="preserve">모델 엔드포인트 최소 복제본</t>
  </si>
  <si>
    <r>
      <rPr>
        <i val="true"/>
        <sz val="11"/>
        <color rgb="FF808080"/>
        <rFont val="Arial"/>
        <family val="0"/>
        <charset val="1"/>
      </rPr>
      <t xml:space="preserve">VCF 9.1 PAIS </t>
    </r>
    <r>
      <rPr>
        <i val="true"/>
        <sz val="11"/>
        <color rgb="FF808080"/>
        <rFont val="나눔고딕"/>
        <family val="2"/>
        <charset val="129"/>
      </rPr>
      <t xml:space="preserve">설계 </t>
    </r>
    <r>
      <rPr>
        <i val="true"/>
        <sz val="11"/>
        <color rgb="FF808080"/>
        <rFont val="Arial"/>
        <family val="0"/>
        <charset val="1"/>
      </rPr>
      <t xml:space="preserve">PAIS-021</t>
    </r>
  </si>
  <si>
    <r>
      <rPr>
        <sz val="11"/>
        <rFont val="Arial"/>
        <family val="0"/>
        <charset val="1"/>
      </rPr>
      <t xml:space="preserve">PAIF </t>
    </r>
    <r>
      <rPr>
        <sz val="11"/>
        <rFont val="나눔고딕"/>
        <family val="2"/>
        <charset val="129"/>
      </rPr>
      <t xml:space="preserve">최소 </t>
    </r>
    <r>
      <rPr>
        <sz val="11"/>
        <rFont val="Arial"/>
        <family val="0"/>
        <charset val="1"/>
      </rPr>
      <t xml:space="preserve">GPU </t>
    </r>
    <r>
      <rPr>
        <sz val="11"/>
        <rFont val="나눔고딕"/>
        <family val="2"/>
        <charset val="129"/>
      </rPr>
      <t xml:space="preserve">호스트</t>
    </r>
  </si>
  <si>
    <r>
      <rPr>
        <i val="true"/>
        <sz val="11"/>
        <color rgb="FF808080"/>
        <rFont val="Arial"/>
        <family val="0"/>
        <charset val="1"/>
      </rPr>
      <t xml:space="preserve">PAIF 9.1 </t>
    </r>
    <r>
      <rPr>
        <i val="true"/>
        <sz val="11"/>
        <color rgb="FF808080"/>
        <rFont val="나눔고딕"/>
        <family val="2"/>
        <charset val="129"/>
      </rPr>
      <t xml:space="preserve">요건 </t>
    </r>
    <r>
      <rPr>
        <i val="true"/>
        <sz val="11"/>
        <color rgb="FF808080"/>
        <rFont val="Arial"/>
        <family val="0"/>
        <charset val="1"/>
      </rPr>
      <t xml:space="preserve">(01 1.1</t>
    </r>
    <r>
      <rPr>
        <i val="true"/>
        <sz val="11"/>
        <color rgb="FF808080"/>
        <rFont val="나눔고딕"/>
        <family val="2"/>
        <charset val="129"/>
      </rPr>
      <t xml:space="preserve">절</t>
    </r>
    <r>
      <rPr>
        <i val="true"/>
        <sz val="11"/>
        <color rgb="FF808080"/>
        <rFont val="Arial"/>
        <family val="0"/>
        <charset val="1"/>
      </rPr>
      <t xml:space="preserve">)</t>
    </r>
  </si>
  <si>
    <t xml:space="preserve">컨트롤 플레인 노드</t>
  </si>
  <si>
    <r>
      <rPr>
        <i val="true"/>
        <sz val="11"/>
        <color rgb="FF808080"/>
        <rFont val="나눔고딕"/>
        <family val="2"/>
        <charset val="129"/>
      </rPr>
      <t xml:space="preserve">운영 환경 </t>
    </r>
    <r>
      <rPr>
        <i val="true"/>
        <sz val="11"/>
        <color rgb="FF808080"/>
        <rFont val="Arial"/>
        <family val="0"/>
        <charset val="1"/>
      </rPr>
      <t xml:space="preserve">3 (04 4.1</t>
    </r>
    <r>
      <rPr>
        <i val="true"/>
        <sz val="11"/>
        <color rgb="FF808080"/>
        <rFont val="나눔고딕"/>
        <family val="2"/>
        <charset val="129"/>
      </rPr>
      <t xml:space="preserve">절</t>
    </r>
    <r>
      <rPr>
        <i val="true"/>
        <sz val="11"/>
        <color rgb="FF808080"/>
        <rFont val="Arial"/>
        <family val="0"/>
        <charset val="1"/>
      </rPr>
      <t xml:space="preserve">)</t>
    </r>
  </si>
  <si>
    <t xml:space="preserve">일반 워커 노드</t>
  </si>
  <si>
    <t xml:space="preserve">HA</t>
  </si>
  <si>
    <r>
      <rPr>
        <sz val="11"/>
        <rFont val="Arial"/>
        <family val="0"/>
        <charset val="1"/>
      </rPr>
      <t xml:space="preserve">GPU </t>
    </r>
    <r>
      <rPr>
        <sz val="11"/>
        <rFont val="나눔고딕"/>
        <family val="2"/>
        <charset val="129"/>
      </rPr>
      <t xml:space="preserve">노드 오토스케일 헤드룸</t>
    </r>
  </si>
  <si>
    <r>
      <rPr>
        <i val="true"/>
        <sz val="11"/>
        <color rgb="FF808080"/>
        <rFont val="Arial"/>
        <family val="0"/>
        <charset val="1"/>
      </rPr>
      <t xml:space="preserve">04 4.4</t>
    </r>
    <r>
      <rPr>
        <i val="true"/>
        <sz val="11"/>
        <color rgb="FF808080"/>
        <rFont val="나눔고딕"/>
        <family val="2"/>
        <charset val="129"/>
      </rPr>
      <t xml:space="preserve">절</t>
    </r>
  </si>
  <si>
    <t xml:space="preserve">클러스터 수</t>
  </si>
  <si>
    <r>
      <rPr>
        <i val="true"/>
        <sz val="11"/>
        <color rgb="FF808080"/>
        <rFont val="나눔고딕"/>
        <family val="2"/>
        <charset val="129"/>
      </rPr>
      <t xml:space="preserve">격리 요구 시 증가 </t>
    </r>
    <r>
      <rPr>
        <i val="true"/>
        <sz val="11"/>
        <color rgb="FF808080"/>
        <rFont val="Arial"/>
        <family val="0"/>
        <charset val="1"/>
      </rPr>
      <t xml:space="preserve">(04 4.5</t>
    </r>
    <r>
      <rPr>
        <i val="true"/>
        <sz val="11"/>
        <color rgb="FF808080"/>
        <rFont val="나눔고딕"/>
        <family val="2"/>
        <charset val="129"/>
      </rPr>
      <t xml:space="preserve">절</t>
    </r>
    <r>
      <rPr>
        <i val="true"/>
        <sz val="11"/>
        <color rgb="FF808080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</si>
  <si>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Supervisor </t>
    </r>
    <r>
      <rPr>
        <sz val="11"/>
        <rFont val="나눔고딕"/>
        <family val="2"/>
        <charset val="129"/>
      </rPr>
      <t xml:space="preserve">클러스터 한도</t>
    </r>
  </si>
  <si>
    <r>
      <rPr>
        <i val="true"/>
        <sz val="11"/>
        <color rgb="FF808080"/>
        <rFont val="Arial"/>
        <family val="0"/>
        <charset val="1"/>
      </rPr>
      <t xml:space="preserve">04 4.5</t>
    </r>
    <r>
      <rPr>
        <i val="true"/>
        <sz val="11"/>
        <color rgb="FF808080"/>
        <rFont val="나눔고딕"/>
        <family val="2"/>
        <charset val="129"/>
      </rPr>
      <t xml:space="preserve">절</t>
    </r>
  </si>
  <si>
    <r>
      <rPr>
        <sz val="11"/>
        <rFont val="Arial"/>
        <family val="0"/>
        <charset val="1"/>
      </rPr>
      <t xml:space="preserve">Supervisor </t>
    </r>
    <r>
      <rPr>
        <sz val="11"/>
        <rFont val="나눔고딕"/>
        <family val="2"/>
        <charset val="129"/>
      </rPr>
      <t xml:space="preserve">노드 한도</t>
    </r>
  </si>
  <si>
    <r>
      <rPr>
        <sz val="11"/>
        <rFont val="나눔고딕"/>
        <family val="2"/>
        <charset val="129"/>
      </rPr>
      <t xml:space="preserve">벡터 </t>
    </r>
    <r>
      <rPr>
        <sz val="11"/>
        <rFont val="Arial"/>
        <family val="0"/>
        <charset val="1"/>
      </rPr>
      <t xml:space="preserve">float </t>
    </r>
    <r>
      <rPr>
        <sz val="11"/>
        <rFont val="나눔고딕"/>
        <family val="2"/>
        <charset val="129"/>
      </rPr>
      <t xml:space="preserve">바이트</t>
    </r>
  </si>
  <si>
    <t xml:space="preserve">pgvector float32</t>
  </si>
  <si>
    <r>
      <rPr>
        <sz val="11"/>
        <rFont val="Arial"/>
        <family val="0"/>
        <charset val="1"/>
      </rPr>
      <t xml:space="preserve">HNSW </t>
    </r>
    <r>
      <rPr>
        <sz val="11"/>
        <rFont val="나눔고딕"/>
        <family val="2"/>
        <charset val="129"/>
      </rPr>
      <t xml:space="preserve">인덱스 배수</t>
    </r>
  </si>
  <si>
    <r>
      <rPr>
        <i val="true"/>
        <sz val="11"/>
        <color rgb="FF808080"/>
        <rFont val="나눔고딕"/>
        <family val="2"/>
        <charset val="129"/>
      </rPr>
      <t xml:space="preserve">원시 벡터 대비 </t>
    </r>
    <r>
      <rPr>
        <i val="true"/>
        <sz val="11"/>
        <color rgb="FF808080"/>
        <rFont val="Arial"/>
        <family val="0"/>
        <charset val="1"/>
      </rPr>
      <t xml:space="preserve">1.5–3</t>
    </r>
    <r>
      <rPr>
        <i val="true"/>
        <sz val="11"/>
        <color rgb="FF808080"/>
        <rFont val="나눔고딕"/>
        <family val="2"/>
        <charset val="129"/>
      </rPr>
      <t xml:space="preserve">배 </t>
    </r>
    <r>
      <rPr>
        <i val="true"/>
        <sz val="11"/>
        <color rgb="FF808080"/>
        <rFont val="Arial"/>
        <family val="0"/>
        <charset val="1"/>
      </rPr>
      <t xml:space="preserve">(05 5.2</t>
    </r>
    <r>
      <rPr>
        <i val="true"/>
        <sz val="11"/>
        <color rgb="FF808080"/>
        <rFont val="나눔고딕"/>
        <family val="2"/>
        <charset val="129"/>
      </rPr>
      <t xml:space="preserve">절</t>
    </r>
    <r>
      <rPr>
        <i val="true"/>
        <sz val="11"/>
        <color rgb="FF808080"/>
        <rFont val="Arial"/>
        <family val="0"/>
        <charset val="1"/>
      </rPr>
      <t xml:space="preserve">)</t>
    </r>
  </si>
  <si>
    <t xml:space="preserve">원문 전처리 사본 배수</t>
  </si>
  <si>
    <r>
      <rPr>
        <sz val="11"/>
        <rFont val="Arial"/>
        <family val="0"/>
        <charset val="1"/>
      </rPr>
      <t xml:space="preserve">RAG </t>
    </r>
    <r>
      <rPr>
        <sz val="11"/>
        <rFont val="나눔고딕"/>
        <family val="2"/>
        <charset val="129"/>
      </rPr>
      <t xml:space="preserve">벡터 </t>
    </r>
    <r>
      <rPr>
        <sz val="11"/>
        <rFont val="Arial"/>
        <family val="0"/>
        <charset val="1"/>
      </rPr>
      <t xml:space="preserve">DB </t>
    </r>
    <r>
      <rPr>
        <sz val="11"/>
        <rFont val="나눔고딕"/>
        <family val="2"/>
        <charset val="129"/>
      </rPr>
      <t xml:space="preserve">저장 공식 비율 상한</t>
    </r>
  </si>
  <si>
    <r>
      <rPr>
        <i val="true"/>
        <sz val="11"/>
        <color rgb="FF808080"/>
        <rFont val="나눔고딕"/>
        <family val="2"/>
        <charset val="129"/>
      </rPr>
      <t xml:space="preserve">원문의 </t>
    </r>
    <r>
      <rPr>
        <i val="true"/>
        <sz val="11"/>
        <color rgb="FF808080"/>
        <rFont val="Arial"/>
        <family val="0"/>
        <charset val="1"/>
      </rPr>
      <t xml:space="preserve">5–10</t>
    </r>
    <r>
      <rPr>
        <i val="true"/>
        <sz val="11"/>
        <color rgb="FF808080"/>
        <rFont val="나눔고딕"/>
        <family val="2"/>
        <charset val="129"/>
      </rPr>
      <t xml:space="preserve">배</t>
    </r>
    <r>
      <rPr>
        <i val="true"/>
        <sz val="11"/>
        <color rgb="FF808080"/>
        <rFont val="Arial"/>
        <family val="0"/>
        <charset val="1"/>
      </rPr>
      <t xml:space="preserve">, VCF 9.1 </t>
    </r>
    <r>
      <rPr>
        <i val="true"/>
        <sz val="11"/>
        <color rgb="FF808080"/>
        <rFont val="나눔고딕"/>
        <family val="2"/>
        <charset val="129"/>
      </rPr>
      <t xml:space="preserve">설계 </t>
    </r>
    <r>
      <rPr>
        <i val="true"/>
        <sz val="11"/>
        <color rgb="FF808080"/>
        <rFont val="Arial"/>
        <family val="0"/>
        <charset val="1"/>
      </rPr>
      <t xml:space="preserve">PAIF-ACC-RCMD-010</t>
    </r>
  </si>
  <si>
    <r>
      <rPr>
        <sz val="11"/>
        <rFont val="Arial"/>
        <family val="0"/>
        <charset val="1"/>
      </rPr>
      <t xml:space="preserve">vSAN </t>
    </r>
    <r>
      <rPr>
        <sz val="11"/>
        <rFont val="나눔고딕"/>
        <family val="2"/>
        <charset val="129"/>
      </rPr>
      <t xml:space="preserve">보호 오버헤드 배수</t>
    </r>
  </si>
  <si>
    <r>
      <rPr>
        <i val="true"/>
        <sz val="11"/>
        <color rgb="FF808080"/>
        <rFont val="Arial"/>
        <family val="0"/>
        <charset val="1"/>
      </rPr>
      <t xml:space="preserve">Auto-RAID (05 5.3</t>
    </r>
    <r>
      <rPr>
        <i val="true"/>
        <sz val="11"/>
        <color rgb="FF808080"/>
        <rFont val="나눔고딕"/>
        <family val="2"/>
        <charset val="129"/>
      </rPr>
      <t xml:space="preserve">절</t>
    </r>
    <r>
      <rPr>
        <i val="true"/>
        <sz val="11"/>
        <color rgb="FF808080"/>
        <rFont val="Arial"/>
        <family val="0"/>
        <charset val="1"/>
      </rPr>
      <t xml:space="preserve">)</t>
    </r>
  </si>
  <si>
    <t xml:space="preserve">압축과 중복제거 절감 배수</t>
  </si>
  <si>
    <r>
      <rPr>
        <i val="true"/>
        <sz val="11"/>
        <color rgb="FF808080"/>
        <rFont val="나눔고딕"/>
        <family val="2"/>
        <charset val="129"/>
      </rPr>
      <t xml:space="preserve">보수적으로 </t>
    </r>
    <r>
      <rPr>
        <i val="true"/>
        <sz val="11"/>
        <color rgb="FF808080"/>
        <rFont val="Arial"/>
        <family val="0"/>
        <charset val="1"/>
      </rPr>
      <t xml:space="preserve">1.0</t>
    </r>
  </si>
  <si>
    <r>
      <rPr>
        <b val="true"/>
        <sz val="11"/>
        <color rgb="FF1F3864"/>
        <rFont val="나눔고딕"/>
        <family val="2"/>
        <charset val="129"/>
      </rPr>
      <t xml:space="preserve">라이선스 </t>
    </r>
    <r>
      <rPr>
        <b val="true"/>
        <sz val="11"/>
        <color rgb="FF1F3864"/>
        <rFont val="Arial"/>
        <family val="0"/>
        <charset val="1"/>
      </rPr>
      <t xml:space="preserve">(</t>
    </r>
    <r>
      <rPr>
        <b val="true"/>
        <sz val="11"/>
        <color rgb="FF1F3864"/>
        <rFont val="나눔고딕"/>
        <family val="2"/>
        <charset val="129"/>
      </rPr>
      <t xml:space="preserve">부록 </t>
    </r>
    <r>
      <rPr>
        <b val="true"/>
        <sz val="11"/>
        <color rgb="FF1F3864"/>
        <rFont val="Arial"/>
        <family val="0"/>
        <charset val="1"/>
      </rPr>
      <t xml:space="preserve">A3)</t>
    </r>
  </si>
  <si>
    <t xml:space="preserve">소켓당 코어 최소수량</t>
  </si>
  <si>
    <t xml:space="preserve">견적으로 확인</t>
  </si>
  <si>
    <r>
      <rPr>
        <b val="true"/>
        <sz val="12"/>
        <color rgb="FFFFFFFF"/>
        <rFont val="나눔고딕"/>
        <family val="2"/>
        <charset val="129"/>
      </rPr>
      <t xml:space="preserve">사이징 산정 </t>
    </r>
    <r>
      <rPr>
        <b val="true"/>
        <sz val="12"/>
        <color rgb="FFFFFFFF"/>
        <rFont val="Arial"/>
        <family val="0"/>
        <charset val="1"/>
      </rPr>
      <t xml:space="preserve">(</t>
    </r>
    <r>
      <rPr>
        <b val="true"/>
        <sz val="12"/>
        <color rgb="FFFFFFFF"/>
        <rFont val="나눔고딕"/>
        <family val="2"/>
        <charset val="129"/>
      </rPr>
      <t xml:space="preserve">검은 셀은 수식</t>
    </r>
    <r>
      <rPr>
        <b val="true"/>
        <sz val="12"/>
        <color rgb="FFFFFFFF"/>
        <rFont val="Arial"/>
        <family val="0"/>
        <charset val="1"/>
      </rPr>
      <t xml:space="preserve">, </t>
    </r>
    <r>
      <rPr>
        <b val="true"/>
        <sz val="12"/>
        <color rgb="FFFFFFFF"/>
        <rFont val="나눔고딕"/>
        <family val="2"/>
        <charset val="129"/>
      </rPr>
      <t xml:space="preserve">수정 금지</t>
    </r>
    <r>
      <rPr>
        <b val="true"/>
        <sz val="12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</si>
  <si>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1F3864"/>
        <rFont val="나눔고딕"/>
        <family val="2"/>
        <charset val="129"/>
      </rPr>
      <t xml:space="preserve">토큰 </t>
    </r>
    <r>
      <rPr>
        <b val="true"/>
        <sz val="11"/>
        <color rgb="FF1F3864"/>
        <rFont val="Arial"/>
        <family val="0"/>
        <charset val="1"/>
      </rPr>
      <t xml:space="preserve">(A2.2)</t>
    </r>
  </si>
  <si>
    <t xml:space="preserve">요청당 입력 토큰</t>
  </si>
  <si>
    <t xml:space="preserve">요청당 출력 토큰</t>
  </si>
  <si>
    <t xml:space="preserve">요청당 전체 토큰</t>
  </si>
  <si>
    <t xml:space="preserve">측정 조건 대비 입력 길이</t>
  </si>
  <si>
    <t xml:space="preserve">측정 조건 대비 출력 길이</t>
  </si>
  <si>
    <r>
      <rPr>
        <b val="true"/>
        <sz val="11"/>
        <color rgb="FF1F3864"/>
        <rFont val="나눔고딕"/>
        <family val="2"/>
        <charset val="129"/>
      </rPr>
      <t xml:space="preserve">지연과 처리 시간 </t>
    </r>
    <r>
      <rPr>
        <b val="true"/>
        <sz val="11"/>
        <color rgb="FF1F3864"/>
        <rFont val="Arial"/>
        <family val="0"/>
        <charset val="1"/>
      </rPr>
      <t xml:space="preserve">(A2.3)</t>
    </r>
  </si>
  <si>
    <t xml:space="preserve">요청당 처리 시간</t>
  </si>
  <si>
    <t xml:space="preserve">초</t>
  </si>
  <si>
    <r>
      <rPr>
        <i val="true"/>
        <sz val="11"/>
        <color rgb="FF808080"/>
        <rFont val="나눔고딕"/>
        <family val="2"/>
        <charset val="129"/>
      </rPr>
      <t xml:space="preserve">첫 토큰 시간 </t>
    </r>
    <r>
      <rPr>
        <i val="true"/>
        <sz val="11"/>
        <color rgb="FF808080"/>
        <rFont val="Arial"/>
        <family val="0"/>
        <charset val="1"/>
      </rPr>
      <t xml:space="preserve">+ </t>
    </r>
    <r>
      <rPr>
        <i val="true"/>
        <sz val="11"/>
        <color rgb="FF808080"/>
        <rFont val="나눔고딕"/>
        <family val="2"/>
        <charset val="129"/>
      </rPr>
      <t xml:space="preserve">토큰 간 지연 </t>
    </r>
    <r>
      <rPr>
        <i val="true"/>
        <sz val="11"/>
        <color rgb="FF808080"/>
        <rFont val="Arial"/>
        <family val="0"/>
        <charset val="1"/>
      </rPr>
      <t xml:space="preserve">× </t>
    </r>
    <r>
      <rPr>
        <i val="true"/>
        <sz val="11"/>
        <color rgb="FF808080"/>
        <rFont val="나눔고딕"/>
        <family val="2"/>
        <charset val="129"/>
      </rPr>
      <t xml:space="preserve">출력 토큰</t>
    </r>
  </si>
  <si>
    <t xml:space="preserve">지연 목표 점검</t>
  </si>
  <si>
    <r>
      <rPr>
        <b val="true"/>
        <sz val="11"/>
        <color rgb="FF1F3864"/>
        <rFont val="나눔고딕"/>
        <family val="2"/>
        <charset val="129"/>
      </rPr>
      <t xml:space="preserve">워크로드에서 동시성으로 </t>
    </r>
    <r>
      <rPr>
        <b val="true"/>
        <sz val="11"/>
        <color rgb="FF1F3864"/>
        <rFont val="Arial"/>
        <family val="0"/>
        <charset val="1"/>
      </rPr>
      <t xml:space="preserve">(A2.1)</t>
    </r>
  </si>
  <si>
    <t xml:space="preserve">일 활성 사용자</t>
  </si>
  <si>
    <t xml:space="preserve">일 요청 수</t>
  </si>
  <si>
    <t xml:space="preserve">피크 초당 요청</t>
  </si>
  <si>
    <t xml:space="preserve">req/s</t>
  </si>
  <si>
    <t xml:space="preserve">피크 동시 요청</t>
  </si>
  <si>
    <r>
      <rPr>
        <i val="true"/>
        <sz val="11"/>
        <color rgb="FF808080"/>
        <rFont val="나눔고딕"/>
        <family val="2"/>
        <charset val="129"/>
      </rPr>
      <t xml:space="preserve">피크 초당 요청 </t>
    </r>
    <r>
      <rPr>
        <i val="true"/>
        <sz val="11"/>
        <color rgb="FF808080"/>
        <rFont val="Arial"/>
        <family val="0"/>
        <charset val="1"/>
      </rPr>
      <t xml:space="preserve">× </t>
    </r>
    <r>
      <rPr>
        <i val="true"/>
        <sz val="11"/>
        <color rgb="FF808080"/>
        <rFont val="나눔고딕"/>
        <family val="2"/>
        <charset val="129"/>
      </rPr>
      <t xml:space="preserve">요청당 처리 시간</t>
    </r>
  </si>
  <si>
    <t xml:space="preserve">설계 동시성</t>
  </si>
  <si>
    <r>
      <rPr>
        <b val="true"/>
        <sz val="11"/>
        <color rgb="FF1F3864"/>
        <rFont val="나눔고딕"/>
        <family val="2"/>
        <charset val="129"/>
      </rPr>
      <t xml:space="preserve">복제본 하나의 </t>
    </r>
    <r>
      <rPr>
        <b val="true"/>
        <sz val="11"/>
        <color rgb="FF1F3864"/>
        <rFont val="Arial"/>
        <family val="0"/>
        <charset val="1"/>
      </rPr>
      <t xml:space="preserve">GPU </t>
    </r>
    <r>
      <rPr>
        <b val="true"/>
        <sz val="11"/>
        <color rgb="FF1F3864"/>
        <rFont val="나눔고딕"/>
        <family val="2"/>
        <charset val="129"/>
      </rPr>
      <t xml:space="preserve">메모리 </t>
    </r>
    <r>
      <rPr>
        <b val="true"/>
        <sz val="11"/>
        <color rgb="FF1F3864"/>
        <rFont val="Arial"/>
        <family val="0"/>
        <charset val="1"/>
      </rPr>
      <t xml:space="preserve">(</t>
    </r>
    <r>
      <rPr>
        <b val="true"/>
        <sz val="11"/>
        <color rgb="FF1F3864"/>
        <rFont val="나눔고딕"/>
        <family val="2"/>
        <charset val="129"/>
      </rPr>
      <t xml:space="preserve">가이드 </t>
    </r>
    <r>
      <rPr>
        <b val="true"/>
        <sz val="11"/>
        <color rgb="FF1F3864"/>
        <rFont val="Arial"/>
        <family val="0"/>
        <charset val="1"/>
      </rPr>
      <t xml:space="preserve">02)</t>
    </r>
  </si>
  <si>
    <t xml:space="preserve">가중치 메모리</t>
  </si>
  <si>
    <t xml:space="preserve">복제본 가용 메모리</t>
  </si>
  <si>
    <r>
      <rPr>
        <i val="true"/>
        <sz val="11"/>
        <color rgb="FF808080"/>
        <rFont val="Arial"/>
        <family val="0"/>
        <charset val="1"/>
      </rPr>
      <t xml:space="preserve">GPU </t>
    </r>
    <r>
      <rPr>
        <i val="true"/>
        <sz val="11"/>
        <color rgb="FF808080"/>
        <rFont val="나눔고딕"/>
        <family val="2"/>
        <charset val="129"/>
      </rPr>
      <t xml:space="preserve">수 </t>
    </r>
    <r>
      <rPr>
        <i val="true"/>
        <sz val="11"/>
        <color rgb="FF808080"/>
        <rFont val="Arial"/>
        <family val="0"/>
        <charset val="1"/>
      </rPr>
      <t xml:space="preserve">× </t>
    </r>
    <r>
      <rPr>
        <i val="true"/>
        <sz val="11"/>
        <color rgb="FF808080"/>
        <rFont val="나눔고딕"/>
        <family val="2"/>
        <charset val="129"/>
      </rPr>
      <t xml:space="preserve">메모리 </t>
    </r>
    <r>
      <rPr>
        <i val="true"/>
        <sz val="11"/>
        <color rgb="FF808080"/>
        <rFont val="Arial"/>
        <family val="0"/>
        <charset val="1"/>
      </rPr>
      <t xml:space="preserve">× utilization − </t>
    </r>
    <r>
      <rPr>
        <i val="true"/>
        <sz val="11"/>
        <color rgb="FF808080"/>
        <rFont val="나눔고딕"/>
        <family val="2"/>
        <charset val="129"/>
      </rPr>
      <t xml:space="preserve">오버헤드</t>
    </r>
  </si>
  <si>
    <t xml:space="preserve">모델 적재 가능</t>
  </si>
  <si>
    <r>
      <rPr>
        <sz val="11"/>
        <rFont val="Arial"/>
        <family val="0"/>
        <charset val="1"/>
      </rPr>
      <t xml:space="preserve">GPU </t>
    </r>
    <r>
      <rPr>
        <sz val="11"/>
        <rFont val="나눔고딕"/>
        <family val="2"/>
        <charset val="129"/>
      </rPr>
      <t xml:space="preserve">메모리 </t>
    </r>
    <r>
      <rPr>
        <sz val="11"/>
        <rFont val="Arial"/>
        <family val="0"/>
        <charset val="1"/>
      </rPr>
      <t xml:space="preserve">÷ </t>
    </r>
    <r>
      <rPr>
        <sz val="11"/>
        <rFont val="나눔고딕"/>
        <family val="2"/>
        <charset val="129"/>
      </rPr>
      <t xml:space="preserve">가중치</t>
    </r>
  </si>
  <si>
    <r>
      <rPr>
        <i val="true"/>
        <sz val="11"/>
        <color rgb="FF808080"/>
        <rFont val="나눔고딕"/>
        <family val="2"/>
        <charset val="129"/>
      </rPr>
      <t xml:space="preserve">점검값 </t>
    </r>
    <r>
      <rPr>
        <i val="true"/>
        <sz val="11"/>
        <color rgb="FF808080"/>
        <rFont val="Arial"/>
        <family val="0"/>
        <charset val="1"/>
      </rPr>
      <t xml:space="preserve">2.5 </t>
    </r>
    <r>
      <rPr>
        <i val="true"/>
        <sz val="11"/>
        <color rgb="FF808080"/>
        <rFont val="나눔고딕"/>
        <family val="2"/>
        <charset val="129"/>
      </rPr>
      <t xml:space="preserve">이상 권장</t>
    </r>
  </si>
  <si>
    <r>
      <rPr>
        <sz val="11"/>
        <rFont val="나눔고딕"/>
        <family val="2"/>
        <charset val="129"/>
      </rPr>
      <t xml:space="preserve">토큰당 </t>
    </r>
    <r>
      <rPr>
        <sz val="11"/>
        <rFont val="Arial"/>
        <family val="0"/>
        <charset val="1"/>
      </rPr>
      <t xml:space="preserve">KV </t>
    </r>
    <r>
      <rPr>
        <sz val="11"/>
        <rFont val="나눔고딕"/>
        <family val="2"/>
        <charset val="129"/>
      </rPr>
      <t xml:space="preserve">캐시</t>
    </r>
  </si>
  <si>
    <t xml:space="preserve">GiB</t>
  </si>
  <si>
    <r>
      <rPr>
        <sz val="11"/>
        <rFont val="나눔고딕"/>
        <family val="2"/>
        <charset val="129"/>
      </rPr>
      <t xml:space="preserve">요청당 </t>
    </r>
    <r>
      <rPr>
        <sz val="11"/>
        <rFont val="Arial"/>
        <family val="0"/>
        <charset val="1"/>
      </rPr>
      <t xml:space="preserve">KV </t>
    </r>
    <r>
      <rPr>
        <sz val="11"/>
        <rFont val="나눔고딕"/>
        <family val="2"/>
        <charset val="129"/>
      </rPr>
      <t xml:space="preserve">캐시</t>
    </r>
  </si>
  <si>
    <t xml:space="preserve">메모리로 담을 수 있는 동시성 상한</t>
  </si>
  <si>
    <t xml:space="preserve">작동점 동시성 메모리 점검</t>
  </si>
  <si>
    <r>
      <rPr>
        <b val="true"/>
        <sz val="11"/>
        <color rgb="FF1F3864"/>
        <rFont val="나눔고딕"/>
        <family val="2"/>
        <charset val="129"/>
      </rPr>
      <t xml:space="preserve">복제본과 </t>
    </r>
    <r>
      <rPr>
        <b val="true"/>
        <sz val="11"/>
        <color rgb="FF1F3864"/>
        <rFont val="Arial"/>
        <family val="0"/>
        <charset val="1"/>
      </rPr>
      <t xml:space="preserve">GPU (</t>
    </r>
    <r>
      <rPr>
        <b val="true"/>
        <sz val="11"/>
        <color rgb="FF1F3864"/>
        <rFont val="나눔고딕"/>
        <family val="2"/>
        <charset val="129"/>
      </rPr>
      <t xml:space="preserve">가이드 </t>
    </r>
    <r>
      <rPr>
        <b val="true"/>
        <sz val="11"/>
        <color rgb="FF1F3864"/>
        <rFont val="Arial"/>
        <family val="0"/>
        <charset val="1"/>
      </rPr>
      <t xml:space="preserve">02 2.5</t>
    </r>
    <r>
      <rPr>
        <b val="true"/>
        <sz val="11"/>
        <color rgb="FF1F3864"/>
        <rFont val="나눔고딕"/>
        <family val="2"/>
        <charset val="129"/>
      </rPr>
      <t xml:space="preserve">절</t>
    </r>
    <r>
      <rPr>
        <b val="true"/>
        <sz val="11"/>
        <color rgb="FF1F3864"/>
        <rFont val="Arial"/>
        <family val="0"/>
        <charset val="1"/>
      </rPr>
      <t xml:space="preserve">)</t>
    </r>
  </si>
  <si>
    <t xml:space="preserve">부하를 받는 복제본</t>
  </si>
  <si>
    <r>
      <rPr>
        <i val="true"/>
        <sz val="11"/>
        <color rgb="FF808080"/>
        <rFont val="나눔고딕"/>
        <family val="2"/>
        <charset val="129"/>
      </rPr>
      <t xml:space="preserve">설계 동시성 </t>
    </r>
    <r>
      <rPr>
        <i val="true"/>
        <sz val="11"/>
        <color rgb="FF808080"/>
        <rFont val="Arial"/>
        <family val="0"/>
        <charset val="1"/>
      </rPr>
      <t xml:space="preserve">÷ </t>
    </r>
    <r>
      <rPr>
        <i val="true"/>
        <sz val="11"/>
        <color rgb="FF808080"/>
        <rFont val="나눔고딕"/>
        <family val="2"/>
        <charset val="129"/>
      </rPr>
      <t xml:space="preserve">복제본당 동시성</t>
    </r>
  </si>
  <si>
    <t xml:space="preserve">총 복제본</t>
  </si>
  <si>
    <r>
      <rPr>
        <i val="true"/>
        <sz val="11"/>
        <color rgb="FF808080"/>
        <rFont val="Arial"/>
        <family val="0"/>
        <charset val="1"/>
      </rPr>
      <t xml:space="preserve">N+1</t>
    </r>
    <r>
      <rPr>
        <i val="true"/>
        <sz val="11"/>
        <color rgb="FF808080"/>
        <rFont val="나눔고딕"/>
        <family val="2"/>
        <charset val="129"/>
      </rPr>
      <t xml:space="preserve">과 최소 복제본 </t>
    </r>
    <r>
      <rPr>
        <i val="true"/>
        <sz val="11"/>
        <color rgb="FF808080"/>
        <rFont val="Arial"/>
        <family val="0"/>
        <charset val="1"/>
      </rPr>
      <t xml:space="preserve">2 </t>
    </r>
    <r>
      <rPr>
        <i val="true"/>
        <sz val="11"/>
        <color rgb="FF808080"/>
        <rFont val="나눔고딕"/>
        <family val="2"/>
        <charset val="129"/>
      </rPr>
      <t xml:space="preserve">중 큰 값</t>
    </r>
  </si>
  <si>
    <r>
      <rPr>
        <sz val="11"/>
        <rFont val="나눔고딕"/>
        <family val="2"/>
        <charset val="129"/>
      </rPr>
      <t xml:space="preserve">추론 </t>
    </r>
    <r>
      <rPr>
        <sz val="11"/>
        <rFont val="Arial"/>
        <family val="0"/>
        <charset val="1"/>
      </rPr>
      <t xml:space="preserve">GPU</t>
    </r>
  </si>
  <si>
    <r>
      <rPr>
        <b val="true"/>
        <sz val="11"/>
        <rFont val="나눔고딕"/>
        <family val="2"/>
        <charset val="129"/>
      </rPr>
      <t xml:space="preserve">사용 </t>
    </r>
    <r>
      <rPr>
        <b val="true"/>
        <sz val="11"/>
        <rFont val="Arial"/>
        <family val="0"/>
        <charset val="1"/>
      </rPr>
      <t xml:space="preserve">GPU </t>
    </r>
    <r>
      <rPr>
        <b val="true"/>
        <sz val="11"/>
        <rFont val="나눔고딕"/>
        <family val="2"/>
        <charset val="129"/>
      </rPr>
      <t xml:space="preserve">합계</t>
    </r>
  </si>
  <si>
    <r>
      <rPr>
        <b val="true"/>
        <sz val="11"/>
        <color rgb="FF1F3864"/>
        <rFont val="나눔고딕"/>
        <family val="2"/>
        <charset val="129"/>
      </rPr>
      <t xml:space="preserve">물리 호스트 </t>
    </r>
    <r>
      <rPr>
        <b val="true"/>
        <sz val="11"/>
        <color rgb="FF1F3864"/>
        <rFont val="Arial"/>
        <family val="0"/>
        <charset val="1"/>
      </rPr>
      <t xml:space="preserve">(</t>
    </r>
    <r>
      <rPr>
        <b val="true"/>
        <sz val="11"/>
        <color rgb="FF1F3864"/>
        <rFont val="나눔고딕"/>
        <family val="2"/>
        <charset val="129"/>
      </rPr>
      <t xml:space="preserve">가이드 </t>
    </r>
    <r>
      <rPr>
        <b val="true"/>
        <sz val="11"/>
        <color rgb="FF1F3864"/>
        <rFont val="Arial"/>
        <family val="0"/>
        <charset val="1"/>
      </rPr>
      <t xml:space="preserve">04 4.1</t>
    </r>
    <r>
      <rPr>
        <b val="true"/>
        <sz val="11"/>
        <color rgb="FF1F3864"/>
        <rFont val="나눔고딕"/>
        <family val="2"/>
        <charset val="129"/>
      </rPr>
      <t xml:space="preserve">절</t>
    </r>
    <r>
      <rPr>
        <b val="true"/>
        <sz val="11"/>
        <color rgb="FF1F3864"/>
        <rFont val="Arial"/>
        <family val="0"/>
        <charset val="1"/>
      </rPr>
      <t xml:space="preserve">)</t>
    </r>
  </si>
  <si>
    <r>
      <rPr>
        <sz val="11"/>
        <rFont val="나눔고딕"/>
        <family val="2"/>
        <charset val="129"/>
      </rPr>
      <t xml:space="preserve">복제본당 </t>
    </r>
    <r>
      <rPr>
        <sz val="11"/>
        <rFont val="Arial"/>
        <family val="0"/>
        <charset val="1"/>
      </rPr>
      <t xml:space="preserve">GPU</t>
    </r>
    <r>
      <rPr>
        <sz val="11"/>
        <rFont val="나눔고딕"/>
        <family val="2"/>
        <charset val="129"/>
      </rPr>
      <t xml:space="preserve">와 호스트당 </t>
    </r>
    <r>
      <rPr>
        <sz val="11"/>
        <rFont val="Arial"/>
        <family val="0"/>
        <charset val="1"/>
      </rPr>
      <t xml:space="preserve">GPU</t>
    </r>
  </si>
  <si>
    <r>
      <rPr>
        <b val="true"/>
        <sz val="11"/>
        <rFont val="Arial"/>
        <family val="0"/>
        <charset val="1"/>
      </rPr>
      <t xml:space="preserve">GPU </t>
    </r>
    <r>
      <rPr>
        <b val="true"/>
        <sz val="11"/>
        <rFont val="나눔고딕"/>
        <family val="2"/>
        <charset val="129"/>
      </rPr>
      <t xml:space="preserve">호스트</t>
    </r>
  </si>
  <si>
    <r>
      <rPr>
        <i val="true"/>
        <sz val="11"/>
        <color rgb="FF808080"/>
        <rFont val="Arial"/>
        <family val="0"/>
        <charset val="1"/>
      </rPr>
      <t xml:space="preserve">PAIF </t>
    </r>
    <r>
      <rPr>
        <i val="true"/>
        <sz val="11"/>
        <color rgb="FF808080"/>
        <rFont val="나눔고딕"/>
        <family val="2"/>
        <charset val="129"/>
      </rPr>
      <t xml:space="preserve">최소 </t>
    </r>
    <r>
      <rPr>
        <i val="true"/>
        <sz val="11"/>
        <color rgb="FF808080"/>
        <rFont val="Arial"/>
        <family val="0"/>
        <charset val="1"/>
      </rPr>
      <t xml:space="preserve">3</t>
    </r>
    <r>
      <rPr>
        <i val="true"/>
        <sz val="11"/>
        <color rgb="FF808080"/>
        <rFont val="나눔고딕"/>
        <family val="2"/>
        <charset val="129"/>
      </rPr>
      <t xml:space="preserve">대 반영</t>
    </r>
  </si>
  <si>
    <r>
      <rPr>
        <sz val="11"/>
        <rFont val="나눔고딕"/>
        <family val="2"/>
        <charset val="129"/>
      </rPr>
      <t xml:space="preserve">장착 </t>
    </r>
    <r>
      <rPr>
        <sz val="11"/>
        <rFont val="Arial"/>
        <family val="0"/>
        <charset val="1"/>
      </rPr>
      <t xml:space="preserve">GPU</t>
    </r>
  </si>
  <si>
    <t xml:space="preserve">하드웨어와 전력 산정 기준</t>
  </si>
  <si>
    <t xml:space="preserve">물리 호스트 합계</t>
  </si>
  <si>
    <r>
      <rPr>
        <sz val="11"/>
        <rFont val="Arial"/>
        <family val="0"/>
        <charset val="1"/>
      </rPr>
      <t xml:space="preserve">GPU </t>
    </r>
    <r>
      <rPr>
        <sz val="11"/>
        <rFont val="나눔고딕"/>
        <family val="2"/>
        <charset val="129"/>
      </rPr>
      <t xml:space="preserve">호스트당 </t>
    </r>
    <r>
      <rPr>
        <sz val="11"/>
        <rFont val="Arial"/>
        <family val="0"/>
        <charset val="1"/>
      </rPr>
      <t xml:space="preserve">RAM </t>
    </r>
    <r>
      <rPr>
        <sz val="11"/>
        <rFont val="나눔고딕"/>
        <family val="2"/>
        <charset val="129"/>
      </rPr>
      <t xml:space="preserve">출발값</t>
    </r>
    <r>
      <rPr>
        <sz val="11"/>
        <rFont val="Arial"/>
        <family val="0"/>
        <charset val="1"/>
      </rPr>
      <t xml:space="preserve">(</t>
    </r>
    <r>
      <rPr>
        <sz val="11"/>
        <rFont val="나눔고딕"/>
        <family val="2"/>
        <charset val="129"/>
      </rPr>
      <t xml:space="preserve">하한</t>
    </r>
    <r>
      <rPr>
        <sz val="11"/>
        <rFont val="Arial"/>
        <family val="0"/>
        <charset val="1"/>
      </rPr>
      <t xml:space="preserve">)</t>
    </r>
  </si>
  <si>
    <r>
      <rPr>
        <i val="true"/>
        <sz val="11"/>
        <color rgb="FF808080"/>
        <rFont val="Arial"/>
        <family val="0"/>
        <charset val="1"/>
      </rPr>
      <t xml:space="preserve">GPU </t>
    </r>
    <r>
      <rPr>
        <i val="true"/>
        <sz val="11"/>
        <color rgb="FF808080"/>
        <rFont val="나눔고딕"/>
        <family val="2"/>
        <charset val="129"/>
      </rPr>
      <t xml:space="preserve">메모리 합의 </t>
    </r>
    <r>
      <rPr>
        <i val="true"/>
        <sz val="11"/>
        <color rgb="FF808080"/>
        <rFont val="Arial"/>
        <family val="0"/>
        <charset val="1"/>
      </rPr>
      <t xml:space="preserve">2–3</t>
    </r>
    <r>
      <rPr>
        <i val="true"/>
        <sz val="11"/>
        <color rgb="FF808080"/>
        <rFont val="나눔고딕"/>
        <family val="2"/>
        <charset val="129"/>
      </rPr>
      <t xml:space="preserve">배 </t>
    </r>
    <r>
      <rPr>
        <i val="true"/>
        <sz val="11"/>
        <color rgb="FF808080"/>
        <rFont val="Arial"/>
        <family val="0"/>
        <charset val="1"/>
      </rPr>
      <t xml:space="preserve">(03 3.1</t>
    </r>
    <r>
      <rPr>
        <i val="true"/>
        <sz val="11"/>
        <color rgb="FF808080"/>
        <rFont val="나눔고딕"/>
        <family val="2"/>
        <charset val="129"/>
      </rPr>
      <t xml:space="preserve">절</t>
    </r>
    <r>
      <rPr>
        <i val="true"/>
        <sz val="11"/>
        <color rgb="FF808080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</si>
  <si>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GPU </t>
    </r>
    <r>
      <rPr>
        <sz val="11"/>
        <rFont val="나눔고딕"/>
        <family val="2"/>
        <charset val="129"/>
      </rPr>
      <t xml:space="preserve">호스트당 </t>
    </r>
    <r>
      <rPr>
        <sz val="11"/>
        <rFont val="Arial"/>
        <family val="0"/>
        <charset val="1"/>
      </rPr>
      <t xml:space="preserve">RAM </t>
    </r>
    <r>
      <rPr>
        <sz val="11"/>
        <rFont val="나눔고딕"/>
        <family val="2"/>
        <charset val="129"/>
      </rPr>
      <t xml:space="preserve">출발값</t>
    </r>
    <r>
      <rPr>
        <sz val="11"/>
        <rFont val="Arial"/>
        <family val="0"/>
        <charset val="1"/>
      </rPr>
      <t xml:space="preserve">(</t>
    </r>
    <r>
      <rPr>
        <sz val="11"/>
        <rFont val="나눔고딕"/>
        <family val="2"/>
        <charset val="129"/>
      </rPr>
      <t xml:space="preserve">상한</t>
    </r>
    <r>
      <rPr>
        <sz val="11"/>
        <rFont val="Arial"/>
        <family val="0"/>
        <charset val="1"/>
      </rPr>
      <t xml:space="preserve">)</t>
    </r>
  </si>
  <si>
    <r>
      <rPr>
        <b val="true"/>
        <sz val="11"/>
        <color rgb="FF1F3864"/>
        <rFont val="Arial"/>
        <family val="0"/>
        <charset val="1"/>
      </rPr>
      <t xml:space="preserve">VKS </t>
    </r>
    <r>
      <rPr>
        <b val="true"/>
        <sz val="11"/>
        <color rgb="FF1F3864"/>
        <rFont val="나눔고딕"/>
        <family val="2"/>
        <charset val="129"/>
      </rPr>
      <t xml:space="preserve">노드 </t>
    </r>
    <r>
      <rPr>
        <b val="true"/>
        <sz val="11"/>
        <color rgb="FF1F3864"/>
        <rFont val="Arial"/>
        <family val="0"/>
        <charset val="1"/>
      </rPr>
      <t xml:space="preserve">(</t>
    </r>
    <r>
      <rPr>
        <b val="true"/>
        <sz val="11"/>
        <color rgb="FF1F3864"/>
        <rFont val="나눔고딕"/>
        <family val="2"/>
        <charset val="129"/>
      </rPr>
      <t xml:space="preserve">가이드 </t>
    </r>
    <r>
      <rPr>
        <b val="true"/>
        <sz val="11"/>
        <color rgb="FF1F3864"/>
        <rFont val="Arial"/>
        <family val="0"/>
        <charset val="1"/>
      </rPr>
      <t xml:space="preserve">04)</t>
    </r>
  </si>
  <si>
    <r>
      <rPr>
        <sz val="11"/>
        <rFont val="Arial"/>
        <family val="0"/>
        <charset val="1"/>
      </rPr>
      <t xml:space="preserve">GPU </t>
    </r>
    <r>
      <rPr>
        <sz val="11"/>
        <rFont val="나눔고딕"/>
        <family val="2"/>
        <charset val="129"/>
      </rPr>
      <t xml:space="preserve">워커 노드</t>
    </r>
  </si>
  <si>
    <t xml:space="preserve">VM</t>
  </si>
  <si>
    <r>
      <rPr>
        <i val="true"/>
        <sz val="11"/>
        <color rgb="FF808080"/>
        <rFont val="나눔고딕"/>
        <family val="2"/>
        <charset val="129"/>
      </rPr>
      <t xml:space="preserve">복제본당 </t>
    </r>
    <r>
      <rPr>
        <i val="true"/>
        <sz val="11"/>
        <color rgb="FF808080"/>
        <rFont val="Arial"/>
        <family val="0"/>
        <charset val="1"/>
      </rPr>
      <t xml:space="preserve">1</t>
    </r>
    <r>
      <rPr>
        <i val="true"/>
        <sz val="11"/>
        <color rgb="FF808080"/>
        <rFont val="나눔고딕"/>
        <family val="2"/>
        <charset val="129"/>
      </rPr>
      <t xml:space="preserve">노드 </t>
    </r>
    <r>
      <rPr>
        <i val="true"/>
        <sz val="11"/>
        <color rgb="FF808080"/>
        <rFont val="Arial"/>
        <family val="0"/>
        <charset val="1"/>
      </rPr>
      <t xml:space="preserve">+ </t>
    </r>
    <r>
      <rPr>
        <i val="true"/>
        <sz val="11"/>
        <color rgb="FF808080"/>
        <rFont val="나눔고딕"/>
        <family val="2"/>
        <charset val="129"/>
      </rPr>
      <t xml:space="preserve">임베딩 노드</t>
    </r>
  </si>
  <si>
    <r>
      <rPr>
        <sz val="11"/>
        <rFont val="Arial"/>
        <family val="0"/>
        <charset val="1"/>
      </rPr>
      <t xml:space="preserve">GPU </t>
    </r>
    <r>
      <rPr>
        <sz val="11"/>
        <rFont val="나눔고딕"/>
        <family val="2"/>
        <charset val="129"/>
      </rPr>
      <t xml:space="preserve">워커 노드</t>
    </r>
    <r>
      <rPr>
        <sz val="11"/>
        <rFont val="Arial"/>
        <family val="0"/>
        <charset val="1"/>
      </rPr>
      <t xml:space="preserve">(</t>
    </r>
    <r>
      <rPr>
        <sz val="11"/>
        <rFont val="나눔고딕"/>
        <family val="2"/>
        <charset val="129"/>
      </rPr>
      <t xml:space="preserve">오토스케일 상한</t>
    </r>
    <r>
      <rPr>
        <sz val="11"/>
        <rFont val="Arial"/>
        <family val="0"/>
        <charset val="1"/>
      </rPr>
      <t xml:space="preserve">)</t>
    </r>
  </si>
  <si>
    <t xml:space="preserve">클러스터 노드 합계</t>
  </si>
  <si>
    <r>
      <rPr>
        <sz val="11"/>
        <rFont val="나눔고딕"/>
        <family val="2"/>
        <charset val="129"/>
      </rPr>
      <t xml:space="preserve">전체 노드</t>
    </r>
    <r>
      <rPr>
        <sz val="11"/>
        <rFont val="Arial"/>
        <family val="0"/>
        <charset val="1"/>
      </rPr>
      <t xml:space="preserve">(</t>
    </r>
    <r>
      <rPr>
        <sz val="11"/>
        <rFont val="나눔고딕"/>
        <family val="2"/>
        <charset val="129"/>
      </rPr>
      <t xml:space="preserve">전 클러스터</t>
    </r>
    <r>
      <rPr>
        <sz val="11"/>
        <rFont val="Arial"/>
        <family val="0"/>
        <charset val="1"/>
      </rPr>
      <t xml:space="preserve">)</t>
    </r>
  </si>
  <si>
    <t xml:space="preserve">모델 아티팩트</t>
  </si>
  <si>
    <t xml:space="preserve">원문과 전처리 사본</t>
  </si>
  <si>
    <r>
      <rPr>
        <sz val="11"/>
        <rFont val="나눔고딕"/>
        <family val="2"/>
        <charset val="129"/>
      </rPr>
      <t xml:space="preserve">벡터 인덱스</t>
    </r>
    <r>
      <rPr>
        <sz val="11"/>
        <rFont val="Arial"/>
        <family val="0"/>
        <charset val="1"/>
      </rPr>
      <t xml:space="preserve">(</t>
    </r>
    <r>
      <rPr>
        <sz val="11"/>
        <rFont val="나눔고딕"/>
        <family val="2"/>
        <charset val="129"/>
      </rPr>
      <t xml:space="preserve">원시 </t>
    </r>
    <r>
      <rPr>
        <sz val="11"/>
        <rFont val="Arial"/>
        <family val="0"/>
        <charset val="1"/>
      </rPr>
      <t xml:space="preserve">+ HNSW)</t>
    </r>
  </si>
  <si>
    <r>
      <rPr>
        <sz val="11"/>
        <rFont val="나눔고딕"/>
        <family val="2"/>
        <charset val="129"/>
      </rPr>
      <t xml:space="preserve">공식 비율로 본 </t>
    </r>
    <r>
      <rPr>
        <sz val="11"/>
        <rFont val="Arial"/>
        <family val="0"/>
        <charset val="1"/>
      </rPr>
      <t xml:space="preserve">RAG </t>
    </r>
    <r>
      <rPr>
        <sz val="11"/>
        <rFont val="나눔고딕"/>
        <family val="2"/>
        <charset val="129"/>
      </rPr>
      <t xml:space="preserve">저장 상한</t>
    </r>
  </si>
  <si>
    <r>
      <rPr>
        <i val="true"/>
        <sz val="11"/>
        <color rgb="FF808080"/>
        <rFont val="나눔고딕"/>
        <family val="2"/>
        <charset val="129"/>
      </rPr>
      <t xml:space="preserve">원문 </t>
    </r>
    <r>
      <rPr>
        <i val="true"/>
        <sz val="11"/>
        <color rgb="FF808080"/>
        <rFont val="Arial"/>
        <family val="0"/>
        <charset val="1"/>
      </rPr>
      <t xml:space="preserve">× 10 (05 5.5</t>
    </r>
    <r>
      <rPr>
        <i val="true"/>
        <sz val="11"/>
        <color rgb="FF808080"/>
        <rFont val="나눔고딕"/>
        <family val="2"/>
        <charset val="129"/>
      </rPr>
      <t xml:space="preserve">절 교차 점검</t>
    </r>
    <r>
      <rPr>
        <i val="true"/>
        <sz val="11"/>
        <color rgb="FF808080"/>
        <rFont val="Arial"/>
        <family val="0"/>
        <charset val="1"/>
      </rPr>
      <t xml:space="preserve">)</t>
    </r>
  </si>
  <si>
    <r>
      <rPr>
        <sz val="11"/>
        <rFont val="나눔고딕"/>
        <family val="2"/>
        <charset val="129"/>
      </rPr>
      <t xml:space="preserve">논리 합계</t>
    </r>
    <r>
      <rPr>
        <sz val="11"/>
        <rFont val="Arial"/>
        <family val="0"/>
        <charset val="1"/>
      </rPr>
      <t xml:space="preserve">(</t>
    </r>
    <r>
      <rPr>
        <sz val="11"/>
        <rFont val="나눔고딕"/>
        <family val="2"/>
        <charset val="129"/>
      </rPr>
      <t xml:space="preserve">구성요소 합산</t>
    </r>
    <r>
      <rPr>
        <sz val="11"/>
        <rFont val="Arial"/>
        <family val="0"/>
        <charset val="1"/>
      </rPr>
      <t xml:space="preserve">)</t>
    </r>
  </si>
  <si>
    <r>
      <rPr>
        <sz val="11"/>
        <rFont val="나눔고딕"/>
        <family val="2"/>
        <charset val="129"/>
      </rPr>
      <t xml:space="preserve">논리 합계</t>
    </r>
    <r>
      <rPr>
        <sz val="11"/>
        <rFont val="Arial"/>
        <family val="0"/>
        <charset val="1"/>
      </rPr>
      <t xml:space="preserve">(</t>
    </r>
    <r>
      <rPr>
        <sz val="11"/>
        <rFont val="나눔고딕"/>
        <family val="2"/>
        <charset val="129"/>
      </rPr>
      <t xml:space="preserve">공식 비율 상한 적용</t>
    </r>
    <r>
      <rPr>
        <sz val="11"/>
        <rFont val="Arial"/>
        <family val="0"/>
        <charset val="1"/>
      </rPr>
      <t xml:space="preserve">)</t>
    </r>
  </si>
  <si>
    <r>
      <rPr>
        <b val="true"/>
        <sz val="11"/>
        <rFont val="나눔고딕"/>
        <family val="2"/>
        <charset val="129"/>
      </rPr>
      <t xml:space="preserve">필요 가용 용량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나눔고딕"/>
        <family val="2"/>
        <charset val="129"/>
      </rPr>
      <t xml:space="preserve">구성요소 합산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</si>
  <si>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나눔고딕"/>
        <family val="2"/>
        <charset val="129"/>
      </rPr>
      <t xml:space="preserve">필요 가용 용량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나눔고딕"/>
        <family val="2"/>
        <charset val="129"/>
      </rPr>
      <t xml:space="preserve">예산 상한</t>
    </r>
    <r>
      <rPr>
        <b val="true"/>
        <sz val="11"/>
        <rFont val="Arial"/>
        <family val="0"/>
        <charset val="1"/>
      </rPr>
      <t xml:space="preserve">)</t>
    </r>
  </si>
  <si>
    <t xml:space="preserve">두 값이 크게 다르면 원문과 벡터 수를 표본 실측</t>
  </si>
  <si>
    <r>
      <rPr>
        <b val="true"/>
        <sz val="12"/>
        <color rgb="FFFFFFFF"/>
        <rFont val="Arial"/>
        <family val="0"/>
        <charset val="1"/>
      </rPr>
      <t xml:space="preserve">TCO </t>
    </r>
    <r>
      <rPr>
        <b val="true"/>
        <sz val="12"/>
        <color rgb="FFFFFFFF"/>
        <rFont val="나눔고딕"/>
        <family val="2"/>
        <charset val="129"/>
      </rPr>
      <t xml:space="preserve">수량 골격 </t>
    </r>
    <r>
      <rPr>
        <b val="true"/>
        <sz val="12"/>
        <color rgb="FFFFFFFF"/>
        <rFont val="Arial"/>
        <family val="0"/>
        <charset val="1"/>
      </rPr>
      <t xml:space="preserve">(</t>
    </r>
    <r>
      <rPr>
        <b val="true"/>
        <sz val="12"/>
        <color rgb="FFFFFFFF"/>
        <rFont val="나눔고딕"/>
        <family val="2"/>
        <charset val="129"/>
      </rPr>
      <t xml:space="preserve">금액은 견적 단가로 채움</t>
    </r>
    <r>
      <rPr>
        <b val="true"/>
        <sz val="12"/>
        <color rgb="FFFFFFFF"/>
        <rFont val="Arial"/>
        <family val="0"/>
        <charset val="1"/>
      </rPr>
      <t xml:space="preserve">, </t>
    </r>
    <r>
      <rPr>
        <b val="true"/>
        <sz val="12"/>
        <color rgb="FFFFFFFF"/>
        <rFont val="나눔고딕"/>
        <family val="2"/>
        <charset val="129"/>
      </rPr>
      <t xml:space="preserve">부록 </t>
    </r>
    <r>
      <rPr>
        <b val="true"/>
        <sz val="12"/>
        <color rgb="FFFFFFFF"/>
        <rFont val="Arial"/>
        <family val="0"/>
        <charset val="1"/>
      </rPr>
      <t xml:space="preserve">A3)</t>
    </r>
  </si>
  <si>
    <t xml:space="preserve">수량 산정</t>
  </si>
  <si>
    <t xml:space="preserve">호스트당 라이선스 코어</t>
  </si>
  <si>
    <r>
      <rPr>
        <i val="true"/>
        <sz val="11"/>
        <color rgb="FF808080"/>
        <rFont val="Arial"/>
        <family val="0"/>
        <charset val="1"/>
      </rPr>
      <t xml:space="preserve">MAX(</t>
    </r>
    <r>
      <rPr>
        <i val="true"/>
        <sz val="11"/>
        <color rgb="FF808080"/>
        <rFont val="나눔고딕"/>
        <family val="2"/>
        <charset val="129"/>
      </rPr>
      <t xml:space="preserve">실제 코어</t>
    </r>
    <r>
      <rPr>
        <i val="true"/>
        <sz val="11"/>
        <color rgb="FF808080"/>
        <rFont val="Arial"/>
        <family val="0"/>
        <charset val="1"/>
      </rPr>
      <t xml:space="preserve">, </t>
    </r>
    <r>
      <rPr>
        <i val="true"/>
        <sz val="11"/>
        <color rgb="FF808080"/>
        <rFont val="나눔고딕"/>
        <family val="2"/>
        <charset val="129"/>
      </rPr>
      <t xml:space="preserve">소켓 </t>
    </r>
    <r>
      <rPr>
        <i val="true"/>
        <sz val="11"/>
        <color rgb="FF808080"/>
        <rFont val="Arial"/>
        <family val="0"/>
        <charset val="1"/>
      </rPr>
      <t xml:space="preserve">× </t>
    </r>
    <r>
      <rPr>
        <i val="true"/>
        <sz val="11"/>
        <color rgb="FF808080"/>
        <rFont val="나눔고딕"/>
        <family val="2"/>
        <charset val="129"/>
      </rPr>
      <t xml:space="preserve">최소수량</t>
    </r>
    <r>
      <rPr>
        <i val="true"/>
        <sz val="11"/>
        <color rgb="FF808080"/>
        <rFont val="Arial"/>
        <family val="0"/>
        <charset val="1"/>
      </rPr>
      <t xml:space="preserve">)</t>
    </r>
  </si>
  <si>
    <t xml:space="preserve">총 라이선스 코어</t>
  </si>
  <si>
    <r>
      <rPr>
        <i val="true"/>
        <sz val="11"/>
        <color rgb="FF808080"/>
        <rFont val="나눔고딕"/>
        <family val="2"/>
        <charset val="129"/>
      </rPr>
      <t xml:space="preserve">물리 호스트 합계 기준 </t>
    </r>
    <r>
      <rPr>
        <i val="true"/>
        <sz val="11"/>
        <color rgb="FF808080"/>
        <rFont val="Arial"/>
        <family val="0"/>
        <charset val="1"/>
      </rPr>
      <t xml:space="preserve">(07 7.2</t>
    </r>
    <r>
      <rPr>
        <i val="true"/>
        <sz val="11"/>
        <color rgb="FF808080"/>
        <rFont val="나눔고딕"/>
        <family val="2"/>
        <charset val="129"/>
      </rPr>
      <t xml:space="preserve">절</t>
    </r>
    <r>
      <rPr>
        <i val="true"/>
        <sz val="11"/>
        <color rgb="FF808080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</si>
  <si>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NVAIE </t>
    </r>
    <r>
      <rPr>
        <sz val="11"/>
        <rFont val="나눔고딕"/>
        <family val="2"/>
        <charset val="129"/>
      </rPr>
      <t xml:space="preserve">대상 </t>
    </r>
    <r>
      <rPr>
        <sz val="11"/>
        <rFont val="Arial"/>
        <family val="0"/>
        <charset val="1"/>
      </rPr>
      <t xml:space="preserve">GPU</t>
    </r>
  </si>
  <si>
    <r>
      <rPr>
        <i val="true"/>
        <sz val="11"/>
        <color rgb="FF808080"/>
        <rFont val="Arial"/>
        <family val="0"/>
        <charset val="1"/>
      </rPr>
      <t xml:space="preserve">vGPU</t>
    </r>
    <r>
      <rPr>
        <i val="true"/>
        <sz val="11"/>
        <color rgb="FF808080"/>
        <rFont val="나눔고딕"/>
        <family val="2"/>
        <charset val="129"/>
      </rPr>
      <t xml:space="preserve">나 </t>
    </r>
    <r>
      <rPr>
        <i val="true"/>
        <sz val="11"/>
        <color rgb="FF808080"/>
        <rFont val="Arial"/>
        <family val="0"/>
        <charset val="1"/>
      </rPr>
      <t xml:space="preserve">NIM</t>
    </r>
    <r>
      <rPr>
        <i val="true"/>
        <sz val="11"/>
        <color rgb="FF808080"/>
        <rFont val="나눔고딕"/>
        <family val="2"/>
        <charset val="129"/>
      </rPr>
      <t xml:space="preserve">을 쓰면 장착 </t>
    </r>
    <r>
      <rPr>
        <i val="true"/>
        <sz val="11"/>
        <color rgb="FF808080"/>
        <rFont val="Arial"/>
        <family val="0"/>
        <charset val="1"/>
      </rPr>
      <t xml:space="preserve">GPU </t>
    </r>
    <r>
      <rPr>
        <i val="true"/>
        <sz val="11"/>
        <color rgb="FF808080"/>
        <rFont val="나눔고딕"/>
        <family val="2"/>
        <charset val="129"/>
      </rPr>
      <t xml:space="preserve">전수</t>
    </r>
    <r>
      <rPr>
        <i val="true"/>
        <sz val="11"/>
        <color rgb="FF808080"/>
        <rFont val="Arial"/>
        <family val="0"/>
        <charset val="1"/>
      </rPr>
      <t xml:space="preserve">, DirectPath</t>
    </r>
    <r>
      <rPr>
        <i val="true"/>
        <sz val="11"/>
        <color rgb="FF808080"/>
        <rFont val="나눔고딕"/>
        <family val="2"/>
        <charset val="129"/>
      </rPr>
      <t xml:space="preserve">와 오픈소스 스택이면 </t>
    </r>
    <r>
      <rPr>
        <i val="true"/>
        <sz val="11"/>
        <color rgb="FF808080"/>
        <rFont val="Arial"/>
        <family val="0"/>
        <charset val="1"/>
      </rPr>
      <t xml:space="preserve">0 (07 7.2</t>
    </r>
    <r>
      <rPr>
        <i val="true"/>
        <sz val="11"/>
        <color rgb="FF808080"/>
        <rFont val="나눔고딕"/>
        <family val="2"/>
        <charset val="129"/>
      </rPr>
      <t xml:space="preserve">절</t>
    </r>
    <r>
      <rPr>
        <i val="true"/>
        <sz val="11"/>
        <color rgb="FF808080"/>
        <rFont val="Arial"/>
        <family val="0"/>
        <charset val="1"/>
      </rPr>
      <t xml:space="preserve">)</t>
    </r>
  </si>
  <si>
    <r>
      <rPr>
        <b val="true"/>
        <sz val="11"/>
        <color rgb="FF1F3864"/>
        <rFont val="나눔고딕"/>
        <family val="2"/>
        <charset val="129"/>
      </rPr>
      <t xml:space="preserve">비용 항목 </t>
    </r>
    <r>
      <rPr>
        <b val="true"/>
        <sz val="11"/>
        <color rgb="FF1F3864"/>
        <rFont val="Arial"/>
        <family val="0"/>
        <charset val="1"/>
      </rPr>
      <t xml:space="preserve">(</t>
    </r>
    <r>
      <rPr>
        <b val="true"/>
        <sz val="11"/>
        <color rgb="FF1F3864"/>
        <rFont val="나눔고딕"/>
        <family val="2"/>
        <charset val="129"/>
      </rPr>
      <t xml:space="preserve">노란 칸에 견적 단가를 넣으면 소계 계산</t>
    </r>
    <r>
      <rPr>
        <b val="true"/>
        <sz val="11"/>
        <color rgb="FF1F3864"/>
        <rFont val="Arial"/>
        <family val="0"/>
        <charset val="1"/>
      </rPr>
      <t xml:space="preserve">)</t>
    </r>
  </si>
  <si>
    <t xml:space="preserve">항목</t>
  </si>
  <si>
    <t xml:space="preserve">수량</t>
  </si>
  <si>
    <r>
      <rPr>
        <b val="true"/>
        <sz val="11"/>
        <rFont val="나눔고딕"/>
        <family val="2"/>
        <charset val="129"/>
      </rPr>
      <t xml:space="preserve">단가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나눔고딕"/>
        <family val="2"/>
        <charset val="129"/>
      </rPr>
      <t xml:space="preserve">견적 입력</t>
    </r>
    <r>
      <rPr>
        <b val="true"/>
        <sz val="11"/>
        <rFont val="Arial"/>
        <family val="0"/>
        <charset val="1"/>
      </rPr>
      <t xml:space="preserve">)</t>
    </r>
  </si>
  <si>
    <t xml:space="preserve">소계</t>
  </si>
  <si>
    <t xml:space="preserve">메모</t>
  </si>
  <si>
    <r>
      <rPr>
        <sz val="11"/>
        <rFont val="Arial"/>
        <family val="0"/>
        <charset val="1"/>
      </rPr>
      <t xml:space="preserve">VCF </t>
    </r>
    <r>
      <rPr>
        <sz val="11"/>
        <rFont val="나눔고딕"/>
        <family val="2"/>
        <charset val="129"/>
      </rPr>
      <t xml:space="preserve">코어 구독</t>
    </r>
  </si>
  <si>
    <r>
      <rPr>
        <i val="true"/>
        <sz val="11"/>
        <color rgb="FF808080"/>
        <rFont val="나눔고딕"/>
        <family val="2"/>
        <charset val="129"/>
      </rPr>
      <t xml:space="preserve">코어</t>
    </r>
    <r>
      <rPr>
        <i val="true"/>
        <sz val="11"/>
        <color rgb="FF808080"/>
        <rFont val="Arial"/>
        <family val="0"/>
        <charset val="1"/>
      </rPr>
      <t xml:space="preserve">/</t>
    </r>
    <r>
      <rPr>
        <i val="true"/>
        <sz val="11"/>
        <color rgb="FF808080"/>
        <rFont val="나눔고딕"/>
        <family val="2"/>
        <charset val="129"/>
      </rPr>
      <t xml:space="preserve">년</t>
    </r>
    <r>
      <rPr>
        <i val="true"/>
        <sz val="11"/>
        <color rgb="FF808080"/>
        <rFont val="Arial"/>
        <family val="0"/>
        <charset val="1"/>
      </rPr>
      <t xml:space="preserve">, PAIF </t>
    </r>
    <r>
      <rPr>
        <i val="true"/>
        <sz val="11"/>
        <color rgb="FF808080"/>
        <rFont val="나눔고딕"/>
        <family val="2"/>
        <charset val="129"/>
      </rPr>
      <t xml:space="preserve">포함</t>
    </r>
    <r>
      <rPr>
        <i val="true"/>
        <sz val="11"/>
        <color rgb="FF808080"/>
        <rFont val="Arial"/>
        <family val="0"/>
        <charset val="1"/>
      </rPr>
      <t xml:space="preserve">(</t>
    </r>
    <r>
      <rPr>
        <i val="true"/>
        <sz val="11"/>
        <color rgb="FF808080"/>
        <rFont val="나눔고딕"/>
        <family val="2"/>
        <charset val="129"/>
      </rPr>
      <t xml:space="preserve">이중 계상 금지</t>
    </r>
    <r>
      <rPr>
        <i val="true"/>
        <sz val="11"/>
        <color rgb="FF808080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</si>
  <si>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NVAIE(GPU</t>
    </r>
    <r>
      <rPr>
        <sz val="11"/>
        <rFont val="나눔고딕"/>
        <family val="2"/>
        <charset val="129"/>
      </rPr>
      <t xml:space="preserve">당</t>
    </r>
    <r>
      <rPr>
        <sz val="11"/>
        <rFont val="Arial"/>
        <family val="0"/>
        <charset val="1"/>
      </rPr>
      <t xml:space="preserve">)</t>
    </r>
  </si>
  <si>
    <r>
      <rPr>
        <i val="true"/>
        <sz val="11"/>
        <color rgb="FF808080"/>
        <rFont val="Arial"/>
        <family val="0"/>
        <charset val="1"/>
      </rPr>
      <t xml:space="preserve">GPU/</t>
    </r>
    <r>
      <rPr>
        <i val="true"/>
        <sz val="11"/>
        <color rgb="FF808080"/>
        <rFont val="나눔고딕"/>
        <family val="2"/>
        <charset val="129"/>
      </rPr>
      <t xml:space="preserve">년</t>
    </r>
    <r>
      <rPr>
        <i val="true"/>
        <sz val="11"/>
        <color rgb="FF808080"/>
        <rFont val="Arial"/>
        <family val="0"/>
        <charset val="1"/>
      </rPr>
      <t xml:space="preserve">, NVIDIA </t>
    </r>
    <r>
      <rPr>
        <i val="true"/>
        <sz val="11"/>
        <color rgb="FF808080"/>
        <rFont val="나눔고딕"/>
        <family val="2"/>
        <charset val="129"/>
      </rPr>
      <t xml:space="preserve">별도</t>
    </r>
    <r>
      <rPr>
        <i val="true"/>
        <sz val="11"/>
        <color rgb="FF808080"/>
        <rFont val="Arial"/>
        <family val="0"/>
        <charset val="1"/>
      </rPr>
      <t xml:space="preserve">. 0</t>
    </r>
    <r>
      <rPr>
        <i val="true"/>
        <sz val="11"/>
        <color rgb="FF808080"/>
        <rFont val="나눔고딕"/>
        <family val="2"/>
        <charset val="129"/>
      </rPr>
      <t xml:space="preserve">이면 불필요</t>
    </r>
  </si>
  <si>
    <t xml:space="preserve">DSM</t>
  </si>
  <si>
    <r>
      <rPr>
        <i val="true"/>
        <sz val="11"/>
        <color rgb="FF808080"/>
        <rFont val="Arial"/>
        <family val="0"/>
        <charset val="1"/>
      </rPr>
      <t xml:space="preserve">VCF </t>
    </r>
    <r>
      <rPr>
        <i val="true"/>
        <sz val="11"/>
        <color rgb="FF808080"/>
        <rFont val="나눔고딕"/>
        <family val="2"/>
        <charset val="129"/>
      </rPr>
      <t xml:space="preserve">권한 조건 확인 </t>
    </r>
    <r>
      <rPr>
        <i val="true"/>
        <sz val="11"/>
        <color rgb="FF808080"/>
        <rFont val="Arial"/>
        <family val="0"/>
        <charset val="1"/>
      </rPr>
      <t xml:space="preserve">(A3.1)</t>
    </r>
  </si>
  <si>
    <t xml:space="preserve">GPU</t>
  </si>
  <si>
    <r>
      <rPr>
        <i val="true"/>
        <sz val="11"/>
        <color rgb="FF808080"/>
        <rFont val="나눔고딕"/>
        <family val="2"/>
        <charset val="129"/>
      </rPr>
      <t xml:space="preserve">장착 </t>
    </r>
    <r>
      <rPr>
        <i val="true"/>
        <sz val="11"/>
        <color rgb="FF808080"/>
        <rFont val="Arial"/>
        <family val="0"/>
        <charset val="1"/>
      </rPr>
      <t xml:space="preserve">GPU </t>
    </r>
    <r>
      <rPr>
        <i val="true"/>
        <sz val="11"/>
        <color rgb="FF808080"/>
        <rFont val="나눔고딕"/>
        <family val="2"/>
        <charset val="129"/>
      </rPr>
      <t xml:space="preserve">기준</t>
    </r>
    <r>
      <rPr>
        <i val="true"/>
        <sz val="11"/>
        <color rgb="FF808080"/>
        <rFont val="Arial"/>
        <family val="0"/>
        <charset val="1"/>
      </rPr>
      <t xml:space="preserve">, </t>
    </r>
    <r>
      <rPr>
        <i val="true"/>
        <sz val="11"/>
        <color rgb="FF808080"/>
        <rFont val="나눔고딕"/>
        <family val="2"/>
        <charset val="129"/>
      </rPr>
      <t xml:space="preserve">상각연수로 나눔 </t>
    </r>
    <r>
      <rPr>
        <i val="true"/>
        <sz val="11"/>
        <color rgb="FF808080"/>
        <rFont val="Arial"/>
        <family val="0"/>
        <charset val="1"/>
      </rPr>
      <t xml:space="preserve">(07 7.3</t>
    </r>
    <r>
      <rPr>
        <i val="true"/>
        <sz val="11"/>
        <color rgb="FF808080"/>
        <rFont val="나눔고딕"/>
        <family val="2"/>
        <charset val="129"/>
      </rPr>
      <t xml:space="preserve">절</t>
    </r>
    <r>
      <rPr>
        <i val="true"/>
        <sz val="11"/>
        <color rgb="FF808080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</si>
  <si>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GPU </t>
    </r>
    <r>
      <rPr>
        <sz val="11"/>
        <rFont val="나눔고딕"/>
        <family val="2"/>
        <charset val="129"/>
      </rPr>
      <t xml:space="preserve">서버</t>
    </r>
  </si>
  <si>
    <r>
      <rPr>
        <i val="true"/>
        <sz val="11"/>
        <color rgb="FF808080"/>
        <rFont val="나눔고딕"/>
        <family val="2"/>
        <charset val="129"/>
      </rPr>
      <t xml:space="preserve">물리 서버 수</t>
    </r>
    <r>
      <rPr>
        <i val="true"/>
        <sz val="11"/>
        <color rgb="FF808080"/>
        <rFont val="Arial"/>
        <family val="0"/>
        <charset val="1"/>
      </rPr>
      <t xml:space="preserve">, </t>
    </r>
    <r>
      <rPr>
        <i val="true"/>
        <sz val="11"/>
        <color rgb="FF808080"/>
        <rFont val="나눔고딕"/>
        <family val="2"/>
        <charset val="129"/>
      </rPr>
      <t xml:space="preserve">상각연수로 나눔</t>
    </r>
  </si>
  <si>
    <r>
      <rPr>
        <sz val="11"/>
        <rFont val="나눔고딕"/>
        <family val="2"/>
        <charset val="129"/>
      </rPr>
      <t xml:space="preserve">비</t>
    </r>
    <r>
      <rPr>
        <sz val="11"/>
        <rFont val="Arial"/>
        <family val="0"/>
        <charset val="1"/>
      </rPr>
      <t xml:space="preserve">GPU </t>
    </r>
    <r>
      <rPr>
        <sz val="11"/>
        <rFont val="나눔고딕"/>
        <family val="2"/>
        <charset val="129"/>
      </rPr>
      <t xml:space="preserve">서버</t>
    </r>
  </si>
  <si>
    <t xml:space="preserve">분리형일 때만</t>
  </si>
  <si>
    <r>
      <rPr>
        <sz val="11"/>
        <rFont val="나눔고딕"/>
        <family val="2"/>
        <charset val="129"/>
      </rPr>
      <t xml:space="preserve">스토리지</t>
    </r>
    <r>
      <rPr>
        <sz val="11"/>
        <rFont val="Arial"/>
        <family val="0"/>
        <charset val="1"/>
      </rPr>
      <t xml:space="preserve">(GB)</t>
    </r>
  </si>
  <si>
    <r>
      <rPr>
        <i val="true"/>
        <sz val="11"/>
        <color rgb="FF808080"/>
        <rFont val="나눔고딕"/>
        <family val="2"/>
        <charset val="129"/>
      </rPr>
      <t xml:space="preserve">예산 상한 기준 </t>
    </r>
    <r>
      <rPr>
        <i val="true"/>
        <sz val="11"/>
        <color rgb="FF808080"/>
        <rFont val="Arial"/>
        <family val="0"/>
        <charset val="1"/>
      </rPr>
      <t xml:space="preserve">(05 5.5</t>
    </r>
    <r>
      <rPr>
        <i val="true"/>
        <sz val="11"/>
        <color rgb="FF808080"/>
        <rFont val="나눔고딕"/>
        <family val="2"/>
        <charset val="129"/>
      </rPr>
      <t xml:space="preserve">절</t>
    </r>
    <r>
      <rPr>
        <i val="true"/>
        <sz val="11"/>
        <color rgb="FF808080"/>
        <rFont val="Arial"/>
        <family val="0"/>
        <charset val="1"/>
      </rPr>
      <t xml:space="preserve">)</t>
    </r>
  </si>
  <si>
    <t xml:space="preserve">네트워크와 스위치</t>
  </si>
  <si>
    <r>
      <rPr>
        <i val="true"/>
        <sz val="11"/>
        <color rgb="FF808080"/>
        <rFont val="나눔고딕"/>
        <family val="2"/>
        <charset val="129"/>
      </rPr>
      <t xml:space="preserve">토폴로지 </t>
    </r>
    <r>
      <rPr>
        <i val="true"/>
        <sz val="11"/>
        <color rgb="FF808080"/>
        <rFont val="Arial"/>
        <family val="0"/>
        <charset val="1"/>
      </rPr>
      <t xml:space="preserve">(05 5.4</t>
    </r>
    <r>
      <rPr>
        <i val="true"/>
        <sz val="11"/>
        <color rgb="FF808080"/>
        <rFont val="나눔고딕"/>
        <family val="2"/>
        <charset val="129"/>
      </rPr>
      <t xml:space="preserve">절</t>
    </r>
    <r>
      <rPr>
        <i val="true"/>
        <sz val="11"/>
        <color rgb="FF808080"/>
        <rFont val="Arial"/>
        <family val="0"/>
        <charset val="1"/>
      </rPr>
      <t xml:space="preserve">)</t>
    </r>
  </si>
  <si>
    <r>
      <rPr>
        <sz val="11"/>
        <rFont val="나눔고딕"/>
        <family val="2"/>
        <charset val="129"/>
      </rPr>
      <t xml:space="preserve">전력</t>
    </r>
    <r>
      <rPr>
        <sz val="11"/>
        <rFont val="Arial"/>
        <family val="0"/>
        <charset val="1"/>
      </rPr>
      <t xml:space="preserve">(</t>
    </r>
    <r>
      <rPr>
        <sz val="11"/>
        <rFont val="나눔고딕"/>
        <family val="2"/>
        <charset val="129"/>
      </rPr>
      <t xml:space="preserve">연</t>
    </r>
    <r>
      <rPr>
        <sz val="11"/>
        <rFont val="Arial"/>
        <family val="0"/>
        <charset val="1"/>
      </rPr>
      <t xml:space="preserve">)</t>
    </r>
  </si>
  <si>
    <r>
      <rPr>
        <i val="true"/>
        <sz val="11"/>
        <color rgb="FF808080"/>
        <rFont val="Arial"/>
        <family val="0"/>
        <charset val="1"/>
      </rPr>
      <t xml:space="preserve">GPU </t>
    </r>
    <r>
      <rPr>
        <i val="true"/>
        <sz val="11"/>
        <color rgb="FF808080"/>
        <rFont val="나눔고딕"/>
        <family val="2"/>
        <charset val="129"/>
      </rPr>
      <t xml:space="preserve">소비전력 </t>
    </r>
    <r>
      <rPr>
        <i val="true"/>
        <sz val="11"/>
        <color rgb="FF808080"/>
        <rFont val="Arial"/>
        <family val="0"/>
        <charset val="1"/>
      </rPr>
      <t xml:space="preserve">× PUE (07 7.5</t>
    </r>
    <r>
      <rPr>
        <i val="true"/>
        <sz val="11"/>
        <color rgb="FF808080"/>
        <rFont val="나눔고딕"/>
        <family val="2"/>
        <charset val="129"/>
      </rPr>
      <t xml:space="preserve">절</t>
    </r>
    <r>
      <rPr>
        <i val="true"/>
        <sz val="11"/>
        <color rgb="FF808080"/>
        <rFont val="Arial"/>
        <family val="0"/>
        <charset val="1"/>
      </rPr>
      <t xml:space="preserve">)</t>
    </r>
  </si>
  <si>
    <t xml:space="preserve">유지보수와 지원</t>
  </si>
  <si>
    <t xml:space="preserve">계약</t>
  </si>
  <si>
    <r>
      <rPr>
        <sz val="11"/>
        <rFont val="나눔고딕"/>
        <family val="2"/>
        <charset val="129"/>
      </rPr>
      <t xml:space="preserve">인력</t>
    </r>
    <r>
      <rPr>
        <sz val="11"/>
        <rFont val="Arial"/>
        <family val="0"/>
        <charset val="1"/>
      </rPr>
      <t xml:space="preserve">(</t>
    </r>
    <r>
      <rPr>
        <sz val="11"/>
        <rFont val="나눔고딕"/>
        <family val="2"/>
        <charset val="129"/>
      </rPr>
      <t xml:space="preserve">선택</t>
    </r>
    <r>
      <rPr>
        <sz val="11"/>
        <rFont val="Arial"/>
        <family val="0"/>
        <charset val="1"/>
      </rPr>
      <t xml:space="preserve">)</t>
    </r>
  </si>
  <si>
    <r>
      <rPr>
        <i val="true"/>
        <sz val="11"/>
        <color rgb="FF808080"/>
        <rFont val="나눔고딕"/>
        <family val="2"/>
        <charset val="129"/>
      </rPr>
      <t xml:space="preserve">국내는 보통 제외</t>
    </r>
    <r>
      <rPr>
        <i val="true"/>
        <sz val="11"/>
        <color rgb="FF808080"/>
        <rFont val="Arial"/>
        <family val="0"/>
        <charset val="1"/>
      </rPr>
      <t xml:space="preserve">. </t>
    </r>
    <r>
      <rPr>
        <i val="true"/>
        <sz val="11"/>
        <color rgb="FF808080"/>
        <rFont val="나눔고딕"/>
        <family val="2"/>
        <charset val="129"/>
      </rPr>
      <t xml:space="preserve">넣을 때는 온프레미스와 클라우드에 같은 기준 적용</t>
    </r>
  </si>
  <si>
    <t xml:space="preserve">도입과 이행</t>
  </si>
  <si>
    <t xml:space="preserve">일회성</t>
  </si>
  <si>
    <r>
      <rPr>
        <i val="true"/>
        <sz val="11"/>
        <color rgb="FFC00000"/>
        <rFont val="나눔고딕"/>
        <family val="2"/>
        <charset val="129"/>
      </rPr>
      <t xml:space="preserve">단가</t>
    </r>
    <r>
      <rPr>
        <i val="true"/>
        <sz val="11"/>
        <color rgb="FFC00000"/>
        <rFont val="Arial"/>
        <family val="0"/>
        <charset val="1"/>
      </rPr>
      <t xml:space="preserve">(</t>
    </r>
    <r>
      <rPr>
        <i val="true"/>
        <sz val="11"/>
        <color rgb="FFC00000"/>
        <rFont val="나눔고딕"/>
        <family val="2"/>
        <charset val="129"/>
      </rPr>
      <t xml:space="preserve">노란 칸</t>
    </r>
    <r>
      <rPr>
        <i val="true"/>
        <sz val="11"/>
        <color rgb="FFC00000"/>
        <rFont val="Arial"/>
        <family val="0"/>
        <charset val="1"/>
      </rPr>
      <t xml:space="preserve">)</t>
    </r>
    <r>
      <rPr>
        <i val="true"/>
        <sz val="11"/>
        <color rgb="FFC00000"/>
        <rFont val="나눔고딕"/>
        <family val="2"/>
        <charset val="129"/>
      </rPr>
      <t xml:space="preserve">는 이 워크북이 제시하지 않습니다</t>
    </r>
    <r>
      <rPr>
        <i val="true"/>
        <sz val="11"/>
        <color rgb="FFC00000"/>
        <rFont val="Arial"/>
        <family val="0"/>
        <charset val="1"/>
      </rPr>
      <t xml:space="preserve">. </t>
    </r>
    <r>
      <rPr>
        <i val="true"/>
        <sz val="11"/>
        <color rgb="FFC00000"/>
        <rFont val="나눔고딕"/>
        <family val="2"/>
        <charset val="129"/>
      </rPr>
      <t xml:space="preserve">부록 </t>
    </r>
    <r>
      <rPr>
        <i val="true"/>
        <sz val="11"/>
        <color rgb="FFC00000"/>
        <rFont val="Arial"/>
        <family val="0"/>
        <charset val="1"/>
      </rPr>
      <t xml:space="preserve">A3 </t>
    </r>
    <r>
      <rPr>
        <i val="true"/>
        <sz val="11"/>
        <color rgb="FFC00000"/>
        <rFont val="나눔고딕"/>
        <family val="2"/>
        <charset val="129"/>
      </rPr>
      <t xml:space="preserve">견적 요청 체크리스트로 채우고 출처를 기록하세요</t>
    </r>
    <r>
      <rPr>
        <i val="true"/>
        <sz val="11"/>
        <color rgb="FFC0000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</si>
</sst>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0.00"/>
    <numFmt numFmtId="167" formatCode="#,##0"/>
    <numFmt numFmtId="168" formatCode="#,##0.0"/>
    <numFmt numFmtId="169" formatCode="#,##0.00"/>
    <numFmt numFmtId="170" formatCode="0.0"/>
    <numFmt numFmtId="171" formatCode="0.000000"/>
  </numFmts>
  <fonts count="24">
    <font>
      <sz val="11"/>
      <color theme="1"/>
      <name val="나눔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2"/>
      <color rgb="FFFFFFFF"/>
      <name val="Arial"/>
      <family val="0"/>
      <charset val="1"/>
    </font>
    <font>
      <b val="true"/>
      <sz val="12"/>
      <color rgb="FFFFFFFF"/>
      <name val="나눔고딕"/>
      <family val="2"/>
      <charset val="129"/>
    </font>
    <font>
      <sz val="11"/>
      <color rgb="FF000000"/>
      <name val="나눔고딕"/>
      <family val="2"/>
      <charset val="129"/>
    </font>
    <font>
      <b val="true"/>
      <sz val="11"/>
      <color rgb="FF000000"/>
      <name val="나눔고딕"/>
      <family val="2"/>
      <charset val="129"/>
    </font>
    <font>
      <b val="true"/>
      <sz val="11"/>
      <color rgb="FF000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C00000"/>
      <name val="나눔고딕"/>
      <family val="2"/>
      <charset val="129"/>
    </font>
    <font>
      <sz val="11"/>
      <color rgb="FF000000"/>
      <name val="Arial"/>
      <family val="0"/>
      <charset val="1"/>
    </font>
    <font>
      <b val="true"/>
      <sz val="11"/>
      <color rgb="FF1F3864"/>
      <name val="나눔고딕"/>
      <family val="2"/>
      <charset val="129"/>
    </font>
    <font>
      <b val="true"/>
      <sz val="11"/>
      <color rgb="FF1F3864"/>
      <name val="Arial"/>
      <family val="0"/>
      <charset val="1"/>
    </font>
    <font>
      <sz val="11"/>
      <name val="나눔고딕"/>
      <family val="2"/>
      <charset val="129"/>
    </font>
    <font>
      <b val="true"/>
      <sz val="11"/>
      <color rgb="FF0000FF"/>
      <name val="Arial"/>
      <family val="0"/>
      <charset val="1"/>
    </font>
    <font>
      <i val="true"/>
      <sz val="11"/>
      <color rgb="FF808080"/>
      <name val="나눔고딕"/>
      <family val="2"/>
      <charset val="129"/>
    </font>
    <font>
      <i val="true"/>
      <sz val="11"/>
      <color rgb="FF808080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나눔고딕"/>
      <family val="2"/>
      <charset val="129"/>
    </font>
    <font>
      <b val="true"/>
      <sz val="11"/>
      <name val="나눔고딕"/>
      <family val="2"/>
      <charset val="129"/>
    </font>
    <font>
      <b val="true"/>
      <sz val="11"/>
      <name val="Arial"/>
      <family val="0"/>
      <charset val="1"/>
    </font>
    <font>
      <i val="true"/>
      <sz val="11"/>
      <color rgb="FFC00000"/>
      <name val="나눔고딕"/>
      <family val="2"/>
      <charset val="129"/>
    </font>
    <font>
      <i val="true"/>
      <sz val="11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1.67"/>
    <col collapsed="false" customWidth="true" hidden="false" outlineLevel="0" max="2" min="2" style="0" width="91.8"/>
  </cols>
  <sheetData>
    <row r="2" customFormat="false" ht="1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/>
    </row>
    <row r="5" customFormat="false" ht="15" hidden="false" customHeight="false" outlineLevel="0" collapsed="false">
      <c r="B5" s="3" t="s">
        <v>1</v>
      </c>
    </row>
    <row r="6" customFormat="false" ht="15" hidden="false" customHeight="false" outlineLevel="0" collapsed="false">
      <c r="B6" s="2"/>
    </row>
    <row r="7" customFormat="false" ht="15" hidden="false" customHeight="false" outlineLevel="0" collapsed="false">
      <c r="B7" s="4" t="s">
        <v>2</v>
      </c>
    </row>
    <row r="8" customFormat="false" ht="26.85" hidden="false" customHeight="false" outlineLevel="0" collapsed="false">
      <c r="B8" s="5" t="s">
        <v>3</v>
      </c>
    </row>
    <row r="9" customFormat="false" ht="15" hidden="false" customHeight="false" outlineLevel="0" collapsed="false">
      <c r="B9" s="5" t="s">
        <v>4</v>
      </c>
    </row>
    <row r="10" customFormat="false" ht="15" hidden="false" customHeight="false" outlineLevel="0" collapsed="false">
      <c r="B10" s="5" t="s">
        <v>5</v>
      </c>
    </row>
    <row r="11" customFormat="false" ht="15" hidden="false" customHeight="false" outlineLevel="0" collapsed="false">
      <c r="B11" s="2"/>
    </row>
    <row r="12" customFormat="false" ht="15" hidden="false" customHeight="false" outlineLevel="0" collapsed="false">
      <c r="B12" s="6" t="s">
        <v>6</v>
      </c>
    </row>
    <row r="13" customFormat="false" ht="15" hidden="false" customHeight="false" outlineLevel="0" collapsed="false">
      <c r="B13" s="5" t="s">
        <v>7</v>
      </c>
    </row>
    <row r="14" customFormat="false" ht="15" hidden="false" customHeight="false" outlineLevel="0" collapsed="false">
      <c r="B14" s="5" t="s">
        <v>8</v>
      </c>
    </row>
    <row r="15" customFormat="false" ht="15" hidden="false" customHeight="false" outlineLevel="0" collapsed="false">
      <c r="B15" s="5" t="s">
        <v>9</v>
      </c>
    </row>
    <row r="16" customFormat="false" ht="15" hidden="false" customHeight="false" outlineLevel="0" collapsed="false">
      <c r="B16" s="5" t="s">
        <v>10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6" t="s">
        <v>11</v>
      </c>
    </row>
    <row r="19" customFormat="false" ht="15" hidden="false" customHeight="false" outlineLevel="0" collapsed="false">
      <c r="B19" s="5" t="s">
        <v>12</v>
      </c>
    </row>
    <row r="20" customFormat="false" ht="15" hidden="false" customHeight="false" outlineLevel="0" collapsed="false">
      <c r="B20" s="2"/>
    </row>
    <row r="21" customFormat="false" ht="15" hidden="false" customHeight="false" outlineLevel="0" collapsed="false">
      <c r="B21" s="6" t="s">
        <v>13</v>
      </c>
    </row>
    <row r="22" customFormat="false" ht="15" hidden="false" customHeight="false" outlineLevel="0" collapsed="false">
      <c r="B22" s="5" t="s">
        <v>14</v>
      </c>
    </row>
    <row r="23" customFormat="false" ht="15" hidden="false" customHeight="false" outlineLevel="0" collapsed="false">
      <c r="B23" s="5" t="s">
        <v>15</v>
      </c>
    </row>
    <row r="24" customFormat="false" ht="15" hidden="false" customHeight="false" outlineLevel="0" collapsed="false">
      <c r="B24" s="2"/>
    </row>
    <row r="25" customFormat="false" ht="15" hidden="false" customHeight="false" outlineLevel="0" collapsed="false">
      <c r="B25" s="6" t="s">
        <v>16</v>
      </c>
    </row>
    <row r="26" customFormat="false" ht="15" hidden="false" customHeight="false" outlineLevel="0" collapsed="false">
      <c r="B26" s="2"/>
    </row>
    <row r="27" customFormat="false" ht="15" hidden="false" customHeight="false" outlineLevel="0" collapsed="false">
      <c r="B27" s="2" t="s">
        <v>17</v>
      </c>
    </row>
    <row r="28" customFormat="false" ht="15" hidden="false" customHeight="false" outlineLevel="0" collapsed="false">
      <c r="B28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3.34"/>
    <col collapsed="false" customWidth="true" hidden="false" outlineLevel="0" max="2" min="2" style="0" width="33.38"/>
    <col collapsed="false" customWidth="true" hidden="false" outlineLevel="0" max="3" min="3" style="0" width="13.35"/>
    <col collapsed="false" customWidth="true" hidden="false" outlineLevel="0" max="4" min="4" style="0" width="10.02"/>
    <col collapsed="false" customWidth="true" hidden="false" outlineLevel="0" max="5" min="5" style="0" width="50.08"/>
  </cols>
  <sheetData>
    <row r="1" customFormat="false" ht="15" hidden="false" customHeight="false" outlineLevel="0" collapsed="false">
      <c r="B1" s="7" t="s">
        <v>19</v>
      </c>
      <c r="C1" s="8"/>
      <c r="D1" s="8"/>
      <c r="E1" s="8"/>
    </row>
    <row r="2" customFormat="false" ht="15" hidden="false" customHeight="false" outlineLevel="0" collapsed="false">
      <c r="A2" s="9" t="s">
        <v>20</v>
      </c>
      <c r="B2" s="10"/>
      <c r="C2" s="10"/>
      <c r="D2" s="10"/>
      <c r="E2" s="10"/>
    </row>
    <row r="3" customFormat="false" ht="15" hidden="false" customHeight="false" outlineLevel="0" collapsed="false">
      <c r="B3" s="11" t="s">
        <v>21</v>
      </c>
      <c r="C3" s="12" t="n">
        <v>5000</v>
      </c>
      <c r="D3" s="13" t="s">
        <v>22</v>
      </c>
      <c r="E3" s="13"/>
    </row>
    <row r="4" customFormat="false" ht="15" hidden="false" customHeight="false" outlineLevel="0" collapsed="false">
      <c r="B4" s="11" t="s">
        <v>23</v>
      </c>
      <c r="C4" s="14" t="n">
        <v>0.3</v>
      </c>
      <c r="D4" s="13"/>
      <c r="E4" s="13" t="s">
        <v>24</v>
      </c>
    </row>
    <row r="5" customFormat="false" ht="15" hidden="false" customHeight="false" outlineLevel="0" collapsed="false">
      <c r="B5" s="11" t="s">
        <v>25</v>
      </c>
      <c r="C5" s="15" t="n">
        <v>10</v>
      </c>
      <c r="D5" s="13" t="s">
        <v>26</v>
      </c>
      <c r="E5" s="13" t="s">
        <v>27</v>
      </c>
    </row>
    <row r="6" customFormat="false" ht="15" hidden="false" customHeight="false" outlineLevel="0" collapsed="false">
      <c r="B6" s="11" t="s">
        <v>28</v>
      </c>
      <c r="C6" s="12" t="n">
        <v>8</v>
      </c>
      <c r="D6" s="13" t="s">
        <v>29</v>
      </c>
      <c r="E6" s="13" t="s">
        <v>30</v>
      </c>
    </row>
    <row r="7" customFormat="false" ht="15" hidden="false" customHeight="false" outlineLevel="0" collapsed="false">
      <c r="B7" s="11" t="s">
        <v>31</v>
      </c>
      <c r="C7" s="15" t="n">
        <v>3</v>
      </c>
      <c r="D7" s="13"/>
      <c r="E7" s="13" t="s">
        <v>32</v>
      </c>
    </row>
    <row r="8" customFormat="false" ht="15" hidden="false" customHeight="false" outlineLevel="0" collapsed="false">
      <c r="B8" s="11" t="s">
        <v>33</v>
      </c>
      <c r="C8" s="14" t="n">
        <v>0.3</v>
      </c>
      <c r="D8" s="13"/>
      <c r="E8" s="16" t="s">
        <v>34</v>
      </c>
    </row>
    <row r="9" customFormat="false" ht="15" hidden="false" customHeight="false" outlineLevel="0" collapsed="false">
      <c r="A9" s="9" t="s">
        <v>35</v>
      </c>
      <c r="B9" s="10"/>
      <c r="C9" s="10"/>
      <c r="D9" s="10"/>
      <c r="E9" s="10"/>
    </row>
    <row r="10" customFormat="false" ht="15" hidden="false" customHeight="false" outlineLevel="0" collapsed="false">
      <c r="B10" s="11" t="s">
        <v>36</v>
      </c>
      <c r="C10" s="12" t="n">
        <v>500</v>
      </c>
      <c r="D10" s="13" t="s">
        <v>37</v>
      </c>
      <c r="E10" s="13"/>
    </row>
    <row r="11" customFormat="false" ht="15" hidden="false" customHeight="false" outlineLevel="0" collapsed="false">
      <c r="B11" s="11" t="s">
        <v>38</v>
      </c>
      <c r="C11" s="12" t="n">
        <v>100</v>
      </c>
      <c r="D11" s="13" t="s">
        <v>37</v>
      </c>
      <c r="E11" s="13"/>
    </row>
    <row r="12" customFormat="false" ht="15" hidden="false" customHeight="false" outlineLevel="0" collapsed="false">
      <c r="B12" s="11" t="s">
        <v>39</v>
      </c>
      <c r="C12" s="12" t="n">
        <v>400</v>
      </c>
      <c r="D12" s="13" t="s">
        <v>37</v>
      </c>
      <c r="E12" s="13"/>
    </row>
    <row r="13" customFormat="false" ht="15" hidden="false" customHeight="false" outlineLevel="0" collapsed="false">
      <c r="B13" s="11" t="s">
        <v>40</v>
      </c>
      <c r="C13" s="12" t="n">
        <v>512</v>
      </c>
      <c r="D13" s="13" t="s">
        <v>37</v>
      </c>
      <c r="E13" s="13"/>
    </row>
    <row r="14" customFormat="false" ht="15" hidden="false" customHeight="false" outlineLevel="0" collapsed="false">
      <c r="B14" s="11" t="s">
        <v>41</v>
      </c>
      <c r="C14" s="12" t="n">
        <v>6</v>
      </c>
      <c r="D14" s="13" t="s">
        <v>42</v>
      </c>
      <c r="E14" s="13"/>
    </row>
    <row r="15" customFormat="false" ht="15" hidden="false" customHeight="false" outlineLevel="0" collapsed="false">
      <c r="B15" s="11" t="s">
        <v>43</v>
      </c>
      <c r="C15" s="12" t="n">
        <v>500</v>
      </c>
      <c r="D15" s="13" t="s">
        <v>37</v>
      </c>
      <c r="E15" s="13" t="s">
        <v>44</v>
      </c>
    </row>
    <row r="16" customFormat="false" ht="15" hidden="false" customHeight="false" outlineLevel="0" collapsed="false">
      <c r="B16" s="11" t="s">
        <v>45</v>
      </c>
      <c r="C16" s="17" t="n">
        <v>1</v>
      </c>
      <c r="D16" s="13" t="s">
        <v>46</v>
      </c>
      <c r="E16" s="13" t="s">
        <v>47</v>
      </c>
    </row>
    <row r="17" customFormat="false" ht="15" hidden="false" customHeight="false" outlineLevel="0" collapsed="false">
      <c r="A17" s="9" t="s">
        <v>48</v>
      </c>
      <c r="B17" s="10"/>
      <c r="C17" s="10"/>
      <c r="D17" s="10"/>
      <c r="E17" s="10"/>
    </row>
    <row r="18" customFormat="false" ht="15" hidden="false" customHeight="false" outlineLevel="0" collapsed="false">
      <c r="B18" s="11" t="s">
        <v>49</v>
      </c>
      <c r="C18" s="12" t="s">
        <v>50</v>
      </c>
      <c r="D18" s="13"/>
      <c r="E18" s="13" t="s">
        <v>51</v>
      </c>
    </row>
    <row r="19" customFormat="false" ht="15" hidden="false" customHeight="false" outlineLevel="0" collapsed="false">
      <c r="B19" s="11" t="s">
        <v>52</v>
      </c>
      <c r="C19" s="12" t="n">
        <v>70</v>
      </c>
      <c r="D19" s="16" t="s">
        <v>53</v>
      </c>
      <c r="E19" s="13"/>
    </row>
    <row r="20" customFormat="false" ht="15" hidden="false" customHeight="false" outlineLevel="0" collapsed="false">
      <c r="B20" s="11" t="s">
        <v>54</v>
      </c>
      <c r="C20" s="12" t="n">
        <v>1</v>
      </c>
      <c r="D20" s="16" t="s">
        <v>55</v>
      </c>
      <c r="E20" s="16" t="s">
        <v>56</v>
      </c>
    </row>
    <row r="21" customFormat="false" ht="15" hidden="false" customHeight="false" outlineLevel="0" collapsed="false">
      <c r="B21" s="11" t="s">
        <v>57</v>
      </c>
      <c r="C21" s="12" t="n">
        <v>80</v>
      </c>
      <c r="D21" s="13"/>
      <c r="E21" s="16" t="s">
        <v>58</v>
      </c>
    </row>
    <row r="22" customFormat="false" ht="15" hidden="false" customHeight="false" outlineLevel="0" collapsed="false">
      <c r="B22" s="18" t="s">
        <v>59</v>
      </c>
      <c r="C22" s="12" t="n">
        <v>8</v>
      </c>
      <c r="D22" s="13"/>
      <c r="E22" s="16" t="s">
        <v>60</v>
      </c>
    </row>
    <row r="23" customFormat="false" ht="15" hidden="false" customHeight="false" outlineLevel="0" collapsed="false">
      <c r="B23" s="18" t="s">
        <v>61</v>
      </c>
      <c r="C23" s="12" t="n">
        <v>128</v>
      </c>
      <c r="D23" s="13"/>
      <c r="E23" s="16" t="s">
        <v>62</v>
      </c>
    </row>
    <row r="24" customFormat="false" ht="15" hidden="false" customHeight="false" outlineLevel="0" collapsed="false">
      <c r="B24" s="18" t="s">
        <v>63</v>
      </c>
      <c r="C24" s="12" t="n">
        <v>2</v>
      </c>
      <c r="D24" s="16" t="s">
        <v>55</v>
      </c>
      <c r="E24" s="16" t="s">
        <v>64</v>
      </c>
    </row>
    <row r="25" customFormat="false" ht="15" hidden="false" customHeight="false" outlineLevel="0" collapsed="false">
      <c r="A25" s="9" t="s">
        <v>65</v>
      </c>
      <c r="B25" s="10"/>
      <c r="C25" s="10"/>
      <c r="D25" s="10"/>
      <c r="E25" s="10"/>
    </row>
    <row r="26" customFormat="false" ht="15" hidden="false" customHeight="false" outlineLevel="0" collapsed="false">
      <c r="B26" s="11" t="s">
        <v>66</v>
      </c>
      <c r="C26" s="15" t="n">
        <v>5000</v>
      </c>
      <c r="D26" s="13" t="s">
        <v>37</v>
      </c>
      <c r="E26" s="13" t="s">
        <v>67</v>
      </c>
    </row>
    <row r="27" customFormat="false" ht="15" hidden="false" customHeight="false" outlineLevel="0" collapsed="false">
      <c r="B27" s="11" t="s">
        <v>68</v>
      </c>
      <c r="C27" s="15" t="n">
        <v>500</v>
      </c>
      <c r="D27" s="13" t="s">
        <v>37</v>
      </c>
      <c r="E27" s="13"/>
    </row>
    <row r="28" customFormat="false" ht="15" hidden="false" customHeight="false" outlineLevel="0" collapsed="false">
      <c r="B28" s="11" t="s">
        <v>69</v>
      </c>
      <c r="C28" s="15" t="n">
        <v>50</v>
      </c>
      <c r="D28" s="13" t="s">
        <v>70</v>
      </c>
      <c r="E28" s="13" t="s">
        <v>71</v>
      </c>
    </row>
    <row r="29" customFormat="false" ht="15" hidden="false" customHeight="false" outlineLevel="0" collapsed="false">
      <c r="B29" s="11" t="s">
        <v>72</v>
      </c>
      <c r="C29" s="15" t="n">
        <v>952</v>
      </c>
      <c r="D29" s="16" t="s">
        <v>73</v>
      </c>
      <c r="E29" s="13" t="s">
        <v>74</v>
      </c>
    </row>
    <row r="30" customFormat="false" ht="15" hidden="false" customHeight="false" outlineLevel="0" collapsed="false">
      <c r="B30" s="11" t="s">
        <v>75</v>
      </c>
      <c r="C30" s="19" t="n">
        <v>40.13</v>
      </c>
      <c r="D30" s="16" t="s">
        <v>73</v>
      </c>
      <c r="E30" s="13" t="s">
        <v>76</v>
      </c>
    </row>
    <row r="31" customFormat="false" ht="15" hidden="false" customHeight="false" outlineLevel="0" collapsed="false">
      <c r="B31" s="11" t="s">
        <v>77</v>
      </c>
      <c r="C31" s="12" t="n">
        <v>2000</v>
      </c>
      <c r="D31" s="16" t="s">
        <v>73</v>
      </c>
      <c r="E31" s="16" t="s">
        <v>78</v>
      </c>
    </row>
    <row r="32" customFormat="false" ht="15" hidden="false" customHeight="false" outlineLevel="0" collapsed="false">
      <c r="B32" s="11" t="s">
        <v>79</v>
      </c>
      <c r="C32" s="12" t="n">
        <v>100</v>
      </c>
      <c r="D32" s="16" t="s">
        <v>73</v>
      </c>
      <c r="E32" s="16" t="s">
        <v>80</v>
      </c>
    </row>
    <row r="33" customFormat="false" ht="15" hidden="false" customHeight="false" outlineLevel="0" collapsed="false">
      <c r="A33" s="20" t="s">
        <v>81</v>
      </c>
      <c r="B33" s="10"/>
      <c r="C33" s="10"/>
      <c r="D33" s="10"/>
      <c r="E33" s="10"/>
    </row>
    <row r="34" customFormat="false" ht="15" hidden="false" customHeight="false" outlineLevel="0" collapsed="false">
      <c r="B34" s="18" t="s">
        <v>82</v>
      </c>
      <c r="C34" s="12" t="n">
        <v>80</v>
      </c>
      <c r="D34" s="16" t="s">
        <v>83</v>
      </c>
      <c r="E34" s="13"/>
    </row>
    <row r="35" customFormat="false" ht="15" hidden="false" customHeight="false" outlineLevel="0" collapsed="false">
      <c r="B35" s="11" t="s">
        <v>84</v>
      </c>
      <c r="C35" s="12" t="n">
        <v>4</v>
      </c>
      <c r="D35" s="13" t="s">
        <v>85</v>
      </c>
      <c r="E35" s="13" t="s">
        <v>86</v>
      </c>
    </row>
    <row r="36" customFormat="false" ht="15" hidden="false" customHeight="false" outlineLevel="0" collapsed="false">
      <c r="B36" s="11" t="s">
        <v>87</v>
      </c>
      <c r="C36" s="12" t="n">
        <v>4</v>
      </c>
      <c r="D36" s="13" t="s">
        <v>85</v>
      </c>
      <c r="E36" s="13"/>
    </row>
    <row r="37" customFormat="false" ht="15" hidden="false" customHeight="false" outlineLevel="0" collapsed="false">
      <c r="B37" s="11" t="s">
        <v>88</v>
      </c>
      <c r="C37" s="12" t="n">
        <v>1</v>
      </c>
      <c r="D37" s="13" t="s">
        <v>85</v>
      </c>
      <c r="E37" s="16" t="s">
        <v>89</v>
      </c>
    </row>
    <row r="38" customFormat="false" ht="15" hidden="false" customHeight="false" outlineLevel="0" collapsed="false">
      <c r="B38" s="11" t="s">
        <v>90</v>
      </c>
      <c r="C38" s="12" t="n">
        <v>1</v>
      </c>
      <c r="D38" s="13"/>
      <c r="E38" s="13"/>
    </row>
    <row r="39" customFormat="false" ht="15" hidden="false" customHeight="false" outlineLevel="0" collapsed="false">
      <c r="B39" s="18" t="s">
        <v>91</v>
      </c>
      <c r="C39" s="12" t="s">
        <v>92</v>
      </c>
      <c r="D39" s="13"/>
      <c r="E39" s="16" t="s">
        <v>93</v>
      </c>
    </row>
    <row r="40" customFormat="false" ht="15" hidden="false" customHeight="false" outlineLevel="0" collapsed="false">
      <c r="B40" s="18" t="s">
        <v>94</v>
      </c>
      <c r="C40" s="21" t="s">
        <v>95</v>
      </c>
      <c r="D40" s="13"/>
      <c r="E40" s="13" t="s">
        <v>96</v>
      </c>
    </row>
    <row r="41" customFormat="false" ht="15" hidden="false" customHeight="false" outlineLevel="0" collapsed="false">
      <c r="B41" s="11" t="s">
        <v>97</v>
      </c>
      <c r="C41" s="21" t="s">
        <v>98</v>
      </c>
      <c r="D41" s="13"/>
      <c r="E41" s="13" t="s">
        <v>99</v>
      </c>
    </row>
    <row r="42" customFormat="false" ht="15" hidden="false" customHeight="false" outlineLevel="0" collapsed="false">
      <c r="B42" s="11" t="s">
        <v>100</v>
      </c>
      <c r="C42" s="12" t="n">
        <v>3</v>
      </c>
      <c r="D42" s="13" t="s">
        <v>101</v>
      </c>
      <c r="E42" s="13"/>
    </row>
    <row r="43" customFormat="false" ht="15" hidden="false" customHeight="false" outlineLevel="0" collapsed="false">
      <c r="B43" s="11" t="s">
        <v>102</v>
      </c>
      <c r="C43" s="12" t="n">
        <v>64</v>
      </c>
      <c r="D43" s="13" t="s">
        <v>103</v>
      </c>
      <c r="E43" s="13" t="s">
        <v>104</v>
      </c>
    </row>
    <row r="44" customFormat="false" ht="15" hidden="false" customHeight="false" outlineLevel="0" collapsed="false">
      <c r="B44" s="11" t="s">
        <v>105</v>
      </c>
      <c r="C44" s="12" t="n">
        <v>2</v>
      </c>
      <c r="D44" s="13"/>
      <c r="E44" s="13"/>
    </row>
    <row r="45" customFormat="false" ht="15" hidden="false" customHeight="false" outlineLevel="0" collapsed="false">
      <c r="A45" s="9" t="s">
        <v>106</v>
      </c>
      <c r="B45" s="10"/>
      <c r="C45" s="10"/>
      <c r="D45" s="10"/>
      <c r="E45" s="10"/>
    </row>
    <row r="46" customFormat="false" ht="15" hidden="false" customHeight="false" outlineLevel="0" collapsed="false">
      <c r="B46" s="11" t="s">
        <v>107</v>
      </c>
      <c r="C46" s="12" t="n">
        <v>100</v>
      </c>
      <c r="D46" s="16" t="s">
        <v>83</v>
      </c>
      <c r="E46" s="13" t="s">
        <v>108</v>
      </c>
    </row>
    <row r="47" customFormat="false" ht="15" hidden="false" customHeight="false" outlineLevel="0" collapsed="false">
      <c r="B47" s="11" t="s">
        <v>109</v>
      </c>
      <c r="C47" s="22" t="n">
        <v>2800000</v>
      </c>
      <c r="D47" s="13" t="s">
        <v>110</v>
      </c>
      <c r="E47" s="13" t="s">
        <v>111</v>
      </c>
    </row>
    <row r="48" customFormat="false" ht="15" hidden="false" customHeight="false" outlineLevel="0" collapsed="false">
      <c r="B48" s="11" t="s">
        <v>112</v>
      </c>
      <c r="C48" s="12" t="n">
        <v>1536</v>
      </c>
      <c r="D48" s="13"/>
      <c r="E48" s="13" t="s">
        <v>113</v>
      </c>
    </row>
    <row r="49" customFormat="false" ht="15" hidden="false" customHeight="false" outlineLevel="0" collapsed="false">
      <c r="B49" s="11" t="s">
        <v>114</v>
      </c>
      <c r="C49" s="12" t="n">
        <v>3</v>
      </c>
      <c r="D49" s="13"/>
      <c r="E49" s="16" t="s">
        <v>115</v>
      </c>
    </row>
    <row r="50" customFormat="false" ht="15" hidden="false" customHeight="false" outlineLevel="0" collapsed="false">
      <c r="B50" s="11" t="s">
        <v>116</v>
      </c>
      <c r="C50" s="15" t="n">
        <v>50</v>
      </c>
      <c r="D50" s="16" t="s">
        <v>83</v>
      </c>
      <c r="E50" s="13" t="s">
        <v>117</v>
      </c>
    </row>
    <row r="51" customFormat="false" ht="15" hidden="false" customHeight="false" outlineLevel="0" collapsed="false">
      <c r="B51" s="11" t="s">
        <v>118</v>
      </c>
      <c r="C51" s="12" t="n">
        <v>30</v>
      </c>
      <c r="D51" s="16" t="s">
        <v>83</v>
      </c>
      <c r="E51" s="13" t="s">
        <v>119</v>
      </c>
    </row>
  </sheetData>
  <dataValidations count="3">
    <dataValidation allowBlank="false" errorStyle="stop" operator="between" showDropDown="false" showErrorMessage="false" showInputMessage="false" sqref="C39" type="list">
      <formula1>"DirectPath,vGPU"</formula1>
      <formula2>0</formula2>
    </dataValidation>
    <dataValidation allowBlank="false" errorStyle="stop" operator="between" showDropDown="false" showErrorMessage="false" showInputMessage="false" sqref="C40" type="list">
      <formula1>"아니오,예"</formula1>
      <formula2>0</formula2>
    </dataValidation>
    <dataValidation allowBlank="false" errorStyle="stop" operator="between" showDropDown="false" showErrorMessage="false" showInputMessage="false" sqref="C41" type="list">
      <formula1>"통합형,분리형"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3.34"/>
    <col collapsed="false" customWidth="true" hidden="false" outlineLevel="0" max="2" min="2" style="0" width="33.38"/>
    <col collapsed="false" customWidth="true" hidden="false" outlineLevel="0" max="3" min="3" style="0" width="13.35"/>
    <col collapsed="false" customWidth="true" hidden="false" outlineLevel="0" max="4" min="4" style="0" width="10.02"/>
    <col collapsed="false" customWidth="true" hidden="false" outlineLevel="0" max="5" min="5" style="0" width="50.08"/>
  </cols>
  <sheetData>
    <row r="1" customFormat="false" ht="15" hidden="false" customHeight="false" outlineLevel="0" collapsed="false">
      <c r="B1" s="7" t="s">
        <v>120</v>
      </c>
      <c r="C1" s="8"/>
      <c r="D1" s="8"/>
      <c r="E1" s="8"/>
    </row>
    <row r="2" customFormat="false" ht="15" hidden="false" customHeight="false" outlineLevel="0" collapsed="false">
      <c r="A2" s="20" t="s">
        <v>121</v>
      </c>
      <c r="B2" s="10"/>
      <c r="C2" s="10"/>
      <c r="D2" s="10"/>
      <c r="E2" s="10"/>
    </row>
    <row r="3" customFormat="false" ht="15" hidden="false" customHeight="false" outlineLevel="0" collapsed="false">
      <c r="B3" s="18" t="s">
        <v>122</v>
      </c>
      <c r="C3" s="14" t="n">
        <v>0.9</v>
      </c>
      <c r="D3" s="13"/>
      <c r="E3" s="16" t="s">
        <v>123</v>
      </c>
    </row>
    <row r="4" customFormat="false" ht="15" hidden="false" customHeight="false" outlineLevel="0" collapsed="false">
      <c r="B4" s="18" t="s">
        <v>124</v>
      </c>
      <c r="C4" s="12" t="n">
        <v>4</v>
      </c>
      <c r="D4" s="16" t="s">
        <v>83</v>
      </c>
      <c r="E4" s="13" t="s">
        <v>125</v>
      </c>
    </row>
    <row r="5" customFormat="false" ht="15" hidden="false" customHeight="false" outlineLevel="0" collapsed="false">
      <c r="B5" s="18" t="s">
        <v>126</v>
      </c>
      <c r="C5" s="12" t="n">
        <v>2.5</v>
      </c>
      <c r="D5" s="13" t="s">
        <v>46</v>
      </c>
      <c r="E5" s="16" t="s">
        <v>127</v>
      </c>
    </row>
    <row r="6" customFormat="false" ht="15" hidden="false" customHeight="false" outlineLevel="0" collapsed="false">
      <c r="A6" s="9" t="s">
        <v>128</v>
      </c>
      <c r="B6" s="10"/>
      <c r="C6" s="10"/>
      <c r="D6" s="10"/>
      <c r="E6" s="10"/>
    </row>
    <row r="7" customFormat="false" ht="15" hidden="false" customHeight="false" outlineLevel="0" collapsed="false">
      <c r="B7" s="11" t="s">
        <v>129</v>
      </c>
      <c r="C7" s="12" t="n">
        <v>2</v>
      </c>
      <c r="D7" s="13"/>
      <c r="E7" s="16" t="s">
        <v>130</v>
      </c>
    </row>
    <row r="8" customFormat="false" ht="15" hidden="false" customHeight="false" outlineLevel="0" collapsed="false">
      <c r="B8" s="18" t="s">
        <v>131</v>
      </c>
      <c r="C8" s="12" t="n">
        <v>3</v>
      </c>
      <c r="D8" s="13" t="s">
        <v>101</v>
      </c>
      <c r="E8" s="16" t="s">
        <v>132</v>
      </c>
    </row>
    <row r="9" customFormat="false" ht="15" hidden="false" customHeight="false" outlineLevel="0" collapsed="false">
      <c r="B9" s="11" t="s">
        <v>133</v>
      </c>
      <c r="C9" s="12" t="n">
        <v>3</v>
      </c>
      <c r="D9" s="13"/>
      <c r="E9" s="13" t="s">
        <v>134</v>
      </c>
    </row>
    <row r="10" customFormat="false" ht="15" hidden="false" customHeight="false" outlineLevel="0" collapsed="false">
      <c r="B10" s="11" t="s">
        <v>135</v>
      </c>
      <c r="C10" s="12" t="n">
        <v>3</v>
      </c>
      <c r="D10" s="13"/>
      <c r="E10" s="16" t="s">
        <v>136</v>
      </c>
    </row>
    <row r="11" customFormat="false" ht="15" hidden="false" customHeight="false" outlineLevel="0" collapsed="false">
      <c r="B11" s="18" t="s">
        <v>137</v>
      </c>
      <c r="C11" s="14" t="n">
        <v>0.2</v>
      </c>
      <c r="D11" s="13"/>
      <c r="E11" s="16" t="s">
        <v>138</v>
      </c>
    </row>
    <row r="12" customFormat="false" ht="15" hidden="false" customHeight="false" outlineLevel="0" collapsed="false">
      <c r="B12" s="11" t="s">
        <v>139</v>
      </c>
      <c r="C12" s="12" t="n">
        <v>1</v>
      </c>
      <c r="D12" s="13"/>
      <c r="E12" s="13" t="s">
        <v>140</v>
      </c>
    </row>
    <row r="13" customFormat="false" ht="15" hidden="false" customHeight="false" outlineLevel="0" collapsed="false">
      <c r="B13" s="18" t="s">
        <v>141</v>
      </c>
      <c r="C13" s="12" t="n">
        <v>500</v>
      </c>
      <c r="D13" s="13"/>
      <c r="E13" s="16" t="s">
        <v>142</v>
      </c>
    </row>
    <row r="14" customFormat="false" ht="15" hidden="false" customHeight="false" outlineLevel="0" collapsed="false">
      <c r="B14" s="18" t="s">
        <v>143</v>
      </c>
      <c r="C14" s="12" t="n">
        <v>4000</v>
      </c>
      <c r="D14" s="13"/>
      <c r="E14" s="16" t="s">
        <v>142</v>
      </c>
    </row>
    <row r="15" customFormat="false" ht="15" hidden="false" customHeight="false" outlineLevel="0" collapsed="false">
      <c r="A15" s="9" t="s">
        <v>106</v>
      </c>
      <c r="B15" s="10"/>
      <c r="C15" s="10"/>
      <c r="D15" s="10"/>
      <c r="E15" s="10"/>
    </row>
    <row r="16" customFormat="false" ht="15" hidden="false" customHeight="false" outlineLevel="0" collapsed="false">
      <c r="B16" s="11" t="s">
        <v>144</v>
      </c>
      <c r="C16" s="12" t="n">
        <v>4</v>
      </c>
      <c r="D16" s="16" t="s">
        <v>55</v>
      </c>
      <c r="E16" s="16" t="s">
        <v>145</v>
      </c>
    </row>
    <row r="17" customFormat="false" ht="15" hidden="false" customHeight="false" outlineLevel="0" collapsed="false">
      <c r="B17" s="18" t="s">
        <v>146</v>
      </c>
      <c r="C17" s="12" t="n">
        <v>2</v>
      </c>
      <c r="D17" s="13" t="s">
        <v>46</v>
      </c>
      <c r="E17" s="13" t="s">
        <v>147</v>
      </c>
    </row>
    <row r="18" customFormat="false" ht="15" hidden="false" customHeight="false" outlineLevel="0" collapsed="false">
      <c r="B18" s="11" t="s">
        <v>148</v>
      </c>
      <c r="C18" s="12" t="n">
        <v>1.5</v>
      </c>
      <c r="D18" s="13" t="s">
        <v>46</v>
      </c>
      <c r="E18" s="16" t="s">
        <v>115</v>
      </c>
    </row>
    <row r="19" customFormat="false" ht="15" hidden="false" customHeight="false" outlineLevel="0" collapsed="false">
      <c r="B19" s="18" t="s">
        <v>149</v>
      </c>
      <c r="C19" s="12" t="n">
        <v>10</v>
      </c>
      <c r="D19" s="13" t="s">
        <v>46</v>
      </c>
      <c r="E19" s="13" t="s">
        <v>150</v>
      </c>
    </row>
    <row r="20" customFormat="false" ht="15" hidden="false" customHeight="false" outlineLevel="0" collapsed="false">
      <c r="B20" s="18" t="s">
        <v>151</v>
      </c>
      <c r="C20" s="12" t="n">
        <v>1.5</v>
      </c>
      <c r="D20" s="13" t="s">
        <v>46</v>
      </c>
      <c r="E20" s="16" t="s">
        <v>152</v>
      </c>
    </row>
    <row r="21" customFormat="false" ht="15" hidden="false" customHeight="false" outlineLevel="0" collapsed="false">
      <c r="B21" s="11" t="s">
        <v>153</v>
      </c>
      <c r="C21" s="12" t="n">
        <v>1</v>
      </c>
      <c r="D21" s="13" t="s">
        <v>46</v>
      </c>
      <c r="E21" s="13" t="s">
        <v>154</v>
      </c>
    </row>
    <row r="22" customFormat="false" ht="15" hidden="false" customHeight="false" outlineLevel="0" collapsed="false">
      <c r="A22" s="9" t="s">
        <v>155</v>
      </c>
      <c r="B22" s="10"/>
      <c r="C22" s="10"/>
      <c r="D22" s="10"/>
      <c r="E22" s="10"/>
    </row>
    <row r="23" customFormat="false" ht="15" hidden="false" customHeight="false" outlineLevel="0" collapsed="false">
      <c r="B23" s="11" t="s">
        <v>156</v>
      </c>
      <c r="C23" s="15" t="n">
        <v>16</v>
      </c>
      <c r="D23" s="13" t="s">
        <v>103</v>
      </c>
      <c r="E23" s="13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3.34"/>
    <col collapsed="false" customWidth="true" hidden="false" outlineLevel="0" max="2" min="2" style="0" width="36.72"/>
    <col collapsed="false" customWidth="true" hidden="false" outlineLevel="0" max="3" min="3" style="0" width="15.02"/>
    <col collapsed="false" customWidth="true" hidden="false" outlineLevel="0" max="4" min="4" style="0" width="8.35"/>
    <col collapsed="false" customWidth="true" hidden="false" outlineLevel="0" max="5" min="5" style="0" width="46.74"/>
  </cols>
  <sheetData>
    <row r="1" customFormat="false" ht="15" hidden="false" customHeight="false" outlineLevel="0" collapsed="false">
      <c r="B1" s="7" t="s">
        <v>158</v>
      </c>
      <c r="C1" s="8"/>
      <c r="D1" s="8"/>
      <c r="E1" s="8"/>
    </row>
    <row r="2" customFormat="false" ht="15" hidden="false" customHeight="false" outlineLevel="0" collapsed="false">
      <c r="A2" s="9" t="s">
        <v>159</v>
      </c>
      <c r="B2" s="10"/>
      <c r="C2" s="10"/>
      <c r="D2" s="10"/>
      <c r="E2" s="10"/>
    </row>
    <row r="3" customFormat="false" ht="15" hidden="false" customHeight="false" outlineLevel="0" collapsed="false">
      <c r="B3" s="11" t="s">
        <v>160</v>
      </c>
      <c r="C3" s="23" t="n">
        <f aca="false">(입력!$C$10+입력!$C$11+입력!$C$12+입력!$C$13*입력!$C$14)*입력!$C$16</f>
        <v>4072</v>
      </c>
      <c r="D3" s="13" t="s">
        <v>37</v>
      </c>
      <c r="E3" s="13"/>
    </row>
    <row r="4" customFormat="false" ht="15" hidden="false" customHeight="false" outlineLevel="0" collapsed="false">
      <c r="B4" s="11" t="s">
        <v>161</v>
      </c>
      <c r="C4" s="23" t="n">
        <f aca="false">입력!$C$15*입력!$C$16</f>
        <v>500</v>
      </c>
      <c r="D4" s="13" t="s">
        <v>37</v>
      </c>
      <c r="E4" s="13"/>
    </row>
    <row r="5" customFormat="false" ht="15" hidden="false" customHeight="false" outlineLevel="0" collapsed="false">
      <c r="B5" s="11" t="s">
        <v>162</v>
      </c>
      <c r="C5" s="23" t="n">
        <f aca="false">C3+C4</f>
        <v>4572</v>
      </c>
      <c r="D5" s="13" t="s">
        <v>37</v>
      </c>
      <c r="E5" s="13"/>
    </row>
    <row r="6" customFormat="false" ht="15" hidden="false" customHeight="false" outlineLevel="0" collapsed="false">
      <c r="B6" s="11" t="s">
        <v>163</v>
      </c>
      <c r="C6" s="24" t="str">
        <f aca="false">IF(C3&gt;입력!$C$26*1.1,"측정 조건보다 김: 처리 시간이 짧게 잡혔을 수 있음","측정 조건 이내")</f>
        <v>측정 조건 이내</v>
      </c>
      <c r="D6" s="13"/>
      <c r="E6" s="13"/>
    </row>
    <row r="7" customFormat="false" ht="15" hidden="false" customHeight="false" outlineLevel="0" collapsed="false">
      <c r="B7" s="11" t="s">
        <v>164</v>
      </c>
      <c r="C7" s="24" t="str">
        <f aca="false">IF(C4&gt;입력!$C$27*1.1,"측정 조건보다 김: 토큰 간 지연이 커질 수 있음","측정 조건 이내")</f>
        <v>측정 조건 이내</v>
      </c>
      <c r="D7" s="13"/>
      <c r="E7" s="13"/>
    </row>
    <row r="8" customFormat="false" ht="15" hidden="false" customHeight="false" outlineLevel="0" collapsed="false">
      <c r="A8" s="9" t="s">
        <v>165</v>
      </c>
      <c r="B8" s="10"/>
      <c r="C8" s="10"/>
      <c r="D8" s="10"/>
      <c r="E8" s="10"/>
    </row>
    <row r="9" customFormat="false" ht="15" hidden="false" customHeight="false" outlineLevel="0" collapsed="false">
      <c r="B9" s="11" t="s">
        <v>166</v>
      </c>
      <c r="C9" s="25" t="n">
        <f aca="false">(입력!$C$29+입력!$C$30*MAX(C4-1,0))/1000</f>
        <v>20.97687</v>
      </c>
      <c r="D9" s="13" t="s">
        <v>167</v>
      </c>
      <c r="E9" s="13" t="s">
        <v>168</v>
      </c>
    </row>
    <row r="10" customFormat="false" ht="15" hidden="false" customHeight="false" outlineLevel="0" collapsed="false">
      <c r="B10" s="11" t="s">
        <v>169</v>
      </c>
      <c r="C10" s="24" t="str">
        <f aca="false">IF(AND(입력!$C$29&lt;=입력!$C$31,입력!$C$30&lt;=입력!$C$32),"충족","미충족: 작동점 동시성을 낮춰 다시 측정")</f>
        <v>충족</v>
      </c>
      <c r="D10" s="13"/>
      <c r="E10" s="13"/>
    </row>
    <row r="11" customFormat="false" ht="15" hidden="false" customHeight="false" outlineLevel="0" collapsed="false">
      <c r="A11" s="9" t="s">
        <v>170</v>
      </c>
      <c r="B11" s="10"/>
      <c r="C11" s="10"/>
      <c r="D11" s="10"/>
      <c r="E11" s="10"/>
    </row>
    <row r="12" customFormat="false" ht="15" hidden="false" customHeight="false" outlineLevel="0" collapsed="false">
      <c r="B12" s="11" t="s">
        <v>171</v>
      </c>
      <c r="C12" s="23" t="n">
        <f aca="false">입력!$C$3*입력!$C$4</f>
        <v>1500</v>
      </c>
      <c r="D12" s="13" t="s">
        <v>22</v>
      </c>
      <c r="E12" s="13"/>
    </row>
    <row r="13" customFormat="false" ht="15" hidden="false" customHeight="false" outlineLevel="0" collapsed="false">
      <c r="B13" s="11" t="s">
        <v>172</v>
      </c>
      <c r="C13" s="23" t="n">
        <f aca="false">C12*입력!$C$5</f>
        <v>15000</v>
      </c>
      <c r="D13" s="13" t="s">
        <v>110</v>
      </c>
      <c r="E13" s="13"/>
    </row>
    <row r="14" customFormat="false" ht="15" hidden="false" customHeight="false" outlineLevel="0" collapsed="false">
      <c r="B14" s="11" t="s">
        <v>173</v>
      </c>
      <c r="C14" s="26" t="n">
        <f aca="false">C13/(입력!$C$6*3600)*입력!$C$7</f>
        <v>1.5625</v>
      </c>
      <c r="D14" s="16" t="s">
        <v>174</v>
      </c>
      <c r="E14" s="13"/>
    </row>
    <row r="15" customFormat="false" ht="15" hidden="false" customHeight="false" outlineLevel="0" collapsed="false">
      <c r="B15" s="11" t="s">
        <v>175</v>
      </c>
      <c r="C15" s="25" t="n">
        <f aca="false">C14*C9</f>
        <v>32.776359375</v>
      </c>
      <c r="D15" s="13" t="s">
        <v>70</v>
      </c>
      <c r="E15" s="13" t="s">
        <v>176</v>
      </c>
    </row>
    <row r="16" customFormat="false" ht="15" hidden="false" customHeight="false" outlineLevel="0" collapsed="false">
      <c r="B16" s="27" t="s">
        <v>177</v>
      </c>
      <c r="C16" s="28" t="n">
        <f aca="false">ROUNDUP(C15*(1+입력!$C$8),0)</f>
        <v>43</v>
      </c>
      <c r="D16" s="13" t="s">
        <v>70</v>
      </c>
      <c r="E16" s="13"/>
    </row>
    <row r="17" customFormat="false" ht="15" hidden="false" customHeight="false" outlineLevel="0" collapsed="false">
      <c r="A17" s="9" t="s">
        <v>178</v>
      </c>
      <c r="B17" s="10"/>
      <c r="C17" s="10"/>
      <c r="D17" s="10"/>
      <c r="E17" s="10"/>
    </row>
    <row r="18" customFormat="false" ht="15" hidden="false" customHeight="false" outlineLevel="0" collapsed="false">
      <c r="B18" s="11" t="s">
        <v>179</v>
      </c>
      <c r="C18" s="25" t="n">
        <f aca="false">입력!$C$19*입력!$C$20</f>
        <v>70</v>
      </c>
      <c r="D18" s="16" t="s">
        <v>83</v>
      </c>
      <c r="E18" s="13"/>
    </row>
    <row r="19" customFormat="false" ht="15" hidden="false" customHeight="false" outlineLevel="0" collapsed="false">
      <c r="B19" s="11" t="s">
        <v>180</v>
      </c>
      <c r="C19" s="25" t="n">
        <f aca="false">입력!$C$35*입력!$C$34*상수!$C$3-입력!$C$35*상수!$C$4</f>
        <v>272</v>
      </c>
      <c r="D19" s="16" t="s">
        <v>83</v>
      </c>
      <c r="E19" s="16" t="s">
        <v>181</v>
      </c>
    </row>
    <row r="20" customFormat="false" ht="15" hidden="false" customHeight="false" outlineLevel="0" collapsed="false">
      <c r="B20" s="11" t="s">
        <v>182</v>
      </c>
      <c r="C20" s="24" t="str">
        <f aca="false">IF(C18&lt;=C19,"예","아니오: 복제본당 GPU를 늘리거나 양자화")</f>
        <v>예</v>
      </c>
      <c r="D20" s="13"/>
      <c r="E20" s="13"/>
    </row>
    <row r="21" customFormat="false" ht="15" hidden="false" customHeight="false" outlineLevel="0" collapsed="false">
      <c r="B21" s="18" t="s">
        <v>183</v>
      </c>
      <c r="C21" s="29" t="n">
        <f aca="false">입력!$C$35*입력!$C$34/C18</f>
        <v>4.57142857142857</v>
      </c>
      <c r="D21" s="13" t="s">
        <v>46</v>
      </c>
      <c r="E21" s="13" t="s">
        <v>184</v>
      </c>
    </row>
    <row r="22" customFormat="false" ht="15" hidden="false" customHeight="false" outlineLevel="0" collapsed="false">
      <c r="B22" s="11" t="s">
        <v>185</v>
      </c>
      <c r="C22" s="30" t="n">
        <f aca="false">2*입력!$C$21*입력!$C$22*입력!$C$23*입력!$C$24/1073741824</f>
        <v>0.00030517578125</v>
      </c>
      <c r="D22" s="16" t="s">
        <v>186</v>
      </c>
      <c r="E22" s="13"/>
    </row>
    <row r="23" customFormat="false" ht="15" hidden="false" customHeight="false" outlineLevel="0" collapsed="false">
      <c r="B23" s="11" t="s">
        <v>187</v>
      </c>
      <c r="C23" s="31" t="n">
        <f aca="false">C22*C5</f>
        <v>1.395263671875</v>
      </c>
      <c r="D23" s="16" t="s">
        <v>186</v>
      </c>
      <c r="E23" s="13"/>
    </row>
    <row r="24" customFormat="false" ht="15" hidden="false" customHeight="false" outlineLevel="0" collapsed="false">
      <c r="B24" s="11" t="s">
        <v>188</v>
      </c>
      <c r="C24" s="23" t="n">
        <f aca="false">IF(C18&gt;=C19,0,FLOOR((C19-C18)/C23,1))</f>
        <v>144</v>
      </c>
      <c r="D24" s="13" t="s">
        <v>70</v>
      </c>
      <c r="E24" s="13"/>
    </row>
    <row r="25" customFormat="false" ht="15" hidden="false" customHeight="false" outlineLevel="0" collapsed="false">
      <c r="B25" s="11" t="s">
        <v>189</v>
      </c>
      <c r="C25" s="24" t="str">
        <f aca="false">IF(입력!$C$28&lt;=C24,"정상","작동점 동시성이 메모리 상한을 넘음")</f>
        <v>정상</v>
      </c>
      <c r="D25" s="13"/>
      <c r="E25" s="13"/>
    </row>
    <row r="26" customFormat="false" ht="15" hidden="false" customHeight="false" outlineLevel="0" collapsed="false">
      <c r="A26" s="9" t="s">
        <v>190</v>
      </c>
      <c r="B26" s="10"/>
      <c r="C26" s="10"/>
      <c r="D26" s="10"/>
      <c r="E26" s="10"/>
    </row>
    <row r="27" customFormat="false" ht="15" hidden="false" customHeight="false" outlineLevel="0" collapsed="false">
      <c r="B27" s="11" t="s">
        <v>191</v>
      </c>
      <c r="C27" s="23" t="n">
        <f aca="false">ROUNDUP(C16/입력!$C$28,0)</f>
        <v>1</v>
      </c>
      <c r="D27" s="13"/>
      <c r="E27" s="13" t="s">
        <v>192</v>
      </c>
    </row>
    <row r="28" customFormat="false" ht="15" hidden="false" customHeight="false" outlineLevel="0" collapsed="false">
      <c r="B28" s="27" t="s">
        <v>193</v>
      </c>
      <c r="C28" s="28" t="n">
        <f aca="false">MAX(C27+입력!$C$38,상수!$C$7)</f>
        <v>2</v>
      </c>
      <c r="D28" s="13"/>
      <c r="E28" s="16" t="s">
        <v>194</v>
      </c>
    </row>
    <row r="29" customFormat="false" ht="15" hidden="false" customHeight="false" outlineLevel="0" collapsed="false">
      <c r="B29" s="11" t="s">
        <v>195</v>
      </c>
      <c r="C29" s="23" t="n">
        <f aca="false">C28*입력!$C$35</f>
        <v>8</v>
      </c>
      <c r="D29" s="13" t="s">
        <v>85</v>
      </c>
      <c r="E29" s="13"/>
    </row>
    <row r="30" customFormat="false" ht="15" hidden="false" customHeight="false" outlineLevel="0" collapsed="false">
      <c r="B30" s="27" t="s">
        <v>196</v>
      </c>
      <c r="C30" s="28" t="n">
        <f aca="false">C29+입력!$C$37</f>
        <v>9</v>
      </c>
      <c r="D30" s="13" t="s">
        <v>85</v>
      </c>
      <c r="E30" s="13"/>
    </row>
    <row r="31" customFormat="false" ht="15" hidden="false" customHeight="false" outlineLevel="0" collapsed="false">
      <c r="A31" s="9" t="s">
        <v>197</v>
      </c>
      <c r="B31" s="10"/>
      <c r="C31" s="10"/>
      <c r="D31" s="10"/>
      <c r="E31" s="10"/>
    </row>
    <row r="32" customFormat="false" ht="15" hidden="false" customHeight="false" outlineLevel="0" collapsed="false">
      <c r="B32" s="11" t="s">
        <v>198</v>
      </c>
      <c r="C32" s="24" t="str">
        <f aca="false">IF(입력!$C$35&lt;=입력!$C$36,"정상","복제본이 호스트를 넘음: 호스트 간 병렬 필요")</f>
        <v>정상</v>
      </c>
      <c r="D32" s="13"/>
      <c r="E32" s="13"/>
    </row>
    <row r="33" customFormat="false" ht="15" hidden="false" customHeight="false" outlineLevel="0" collapsed="false">
      <c r="B33" s="32" t="s">
        <v>199</v>
      </c>
      <c r="C33" s="28" t="n">
        <f aca="false">MAX(ROUNDUP(C30/입력!$C$36,0),상수!$C$8)</f>
        <v>3</v>
      </c>
      <c r="D33" s="13" t="s">
        <v>101</v>
      </c>
      <c r="E33" s="16" t="s">
        <v>200</v>
      </c>
    </row>
    <row r="34" customFormat="false" ht="15" hidden="false" customHeight="false" outlineLevel="0" collapsed="false">
      <c r="B34" s="11" t="s">
        <v>201</v>
      </c>
      <c r="C34" s="23" t="n">
        <f aca="false">C33*입력!$C$36</f>
        <v>12</v>
      </c>
      <c r="D34" s="13" t="s">
        <v>85</v>
      </c>
      <c r="E34" s="13" t="s">
        <v>202</v>
      </c>
    </row>
    <row r="35" customFormat="false" ht="15" hidden="false" customHeight="false" outlineLevel="0" collapsed="false">
      <c r="B35" s="27" t="s">
        <v>203</v>
      </c>
      <c r="C35" s="28" t="n">
        <f aca="false">C33+IF(입력!$C$41="분리형",입력!$C$42,0)</f>
        <v>3</v>
      </c>
      <c r="D35" s="13" t="s">
        <v>101</v>
      </c>
      <c r="E35" s="13"/>
    </row>
    <row r="36" customFormat="false" ht="15" hidden="false" customHeight="false" outlineLevel="0" collapsed="false">
      <c r="B36" s="18" t="s">
        <v>204</v>
      </c>
      <c r="C36" s="23" t="n">
        <f aca="false">입력!$C$36*입력!$C$34*2</f>
        <v>640</v>
      </c>
      <c r="D36" s="16" t="s">
        <v>83</v>
      </c>
      <c r="E36" s="16" t="s">
        <v>205</v>
      </c>
    </row>
    <row r="37" customFormat="false" ht="15" hidden="false" customHeight="false" outlineLevel="0" collapsed="false">
      <c r="B37" s="18" t="s">
        <v>206</v>
      </c>
      <c r="C37" s="23" t="n">
        <f aca="false">입력!$C$36*입력!$C$34*3</f>
        <v>960</v>
      </c>
      <c r="D37" s="16" t="s">
        <v>83</v>
      </c>
      <c r="E37" s="13"/>
    </row>
    <row r="38" customFormat="false" ht="15" hidden="false" customHeight="false" outlineLevel="0" collapsed="false">
      <c r="A38" s="20" t="s">
        <v>207</v>
      </c>
      <c r="B38" s="10"/>
      <c r="C38" s="10"/>
      <c r="D38" s="10"/>
      <c r="E38" s="10"/>
    </row>
    <row r="39" customFormat="false" ht="15" hidden="false" customHeight="false" outlineLevel="0" collapsed="false">
      <c r="B39" s="18" t="s">
        <v>208</v>
      </c>
      <c r="C39" s="23" t="n">
        <f aca="false">C28+IF(입력!$C$37&gt;0,1,0)</f>
        <v>3</v>
      </c>
      <c r="D39" s="16" t="s">
        <v>209</v>
      </c>
      <c r="E39" s="13" t="s">
        <v>210</v>
      </c>
    </row>
    <row r="40" customFormat="false" ht="15" hidden="false" customHeight="false" outlineLevel="0" collapsed="false">
      <c r="B40" s="18" t="s">
        <v>211</v>
      </c>
      <c r="C40" s="23" t="n">
        <f aca="false">ROUNDUP(C39*(1+상수!$C$11),0)</f>
        <v>4</v>
      </c>
      <c r="D40" s="16" t="s">
        <v>209</v>
      </c>
      <c r="E40" s="13"/>
    </row>
    <row r="41" customFormat="false" ht="15" hidden="false" customHeight="false" outlineLevel="0" collapsed="false">
      <c r="B41" s="27" t="s">
        <v>212</v>
      </c>
      <c r="C41" s="28" t="n">
        <f aca="false">C40+상수!$C$10+상수!$C$9</f>
        <v>10</v>
      </c>
      <c r="D41" s="16" t="s">
        <v>209</v>
      </c>
      <c r="E41" s="13"/>
    </row>
    <row r="42" customFormat="false" ht="15" hidden="false" customHeight="false" outlineLevel="0" collapsed="false">
      <c r="B42" s="11" t="s">
        <v>213</v>
      </c>
      <c r="C42" s="23" t="n">
        <f aca="false">C41*상수!$C$12</f>
        <v>10</v>
      </c>
      <c r="D42" s="16" t="s">
        <v>209</v>
      </c>
      <c r="E42" s="13"/>
    </row>
    <row r="43" customFormat="false" ht="15" hidden="false" customHeight="false" outlineLevel="0" collapsed="false">
      <c r="B43" s="18" t="s">
        <v>141</v>
      </c>
      <c r="C43" s="24" t="str">
        <f aca="false">IF(상수!$C$12&lt;=상수!$C$13,"여유","초과")</f>
        <v>여유</v>
      </c>
      <c r="D43" s="13"/>
      <c r="E43" s="13"/>
    </row>
    <row r="44" customFormat="false" ht="15" hidden="false" customHeight="false" outlineLevel="0" collapsed="false">
      <c r="B44" s="18" t="s">
        <v>143</v>
      </c>
      <c r="C44" s="24" t="str">
        <f aca="false">IF(C42&lt;=상수!$C$14,"여유","초과")</f>
        <v>여유</v>
      </c>
      <c r="D44" s="13"/>
      <c r="E44" s="13"/>
    </row>
    <row r="45" customFormat="false" ht="15" hidden="false" customHeight="false" outlineLevel="0" collapsed="false">
      <c r="A45" s="9" t="s">
        <v>106</v>
      </c>
      <c r="B45" s="10"/>
      <c r="C45" s="10"/>
      <c r="D45" s="10"/>
      <c r="E45" s="10"/>
    </row>
    <row r="46" customFormat="false" ht="15" hidden="false" customHeight="false" outlineLevel="0" collapsed="false">
      <c r="B46" s="11" t="s">
        <v>214</v>
      </c>
      <c r="C46" s="23" t="n">
        <f aca="false">C18*입력!$C$49</f>
        <v>210</v>
      </c>
      <c r="D46" s="16" t="s">
        <v>83</v>
      </c>
      <c r="E46" s="13"/>
    </row>
    <row r="47" customFormat="false" ht="15" hidden="false" customHeight="false" outlineLevel="0" collapsed="false">
      <c r="B47" s="11" t="s">
        <v>215</v>
      </c>
      <c r="C47" s="23" t="n">
        <f aca="false">입력!$C$46*상수!$C$18</f>
        <v>150</v>
      </c>
      <c r="D47" s="16" t="s">
        <v>83</v>
      </c>
      <c r="E47" s="13"/>
    </row>
    <row r="48" customFormat="false" ht="15" hidden="false" customHeight="false" outlineLevel="0" collapsed="false">
      <c r="B48" s="11" t="s">
        <v>216</v>
      </c>
      <c r="C48" s="23" t="n">
        <f aca="false">입력!$C$47*입력!$C$48*상수!$C$16/1073741824*(1+상수!$C$17)</f>
        <v>48.065185546875</v>
      </c>
      <c r="D48" s="16" t="s">
        <v>83</v>
      </c>
      <c r="E48" s="13"/>
    </row>
    <row r="49" customFormat="false" ht="15" hidden="false" customHeight="false" outlineLevel="0" collapsed="false">
      <c r="B49" s="11" t="s">
        <v>217</v>
      </c>
      <c r="C49" s="23" t="n">
        <f aca="false">입력!$C$46*상수!$C$19</f>
        <v>1000</v>
      </c>
      <c r="D49" s="16" t="s">
        <v>83</v>
      </c>
      <c r="E49" s="13" t="s">
        <v>218</v>
      </c>
    </row>
    <row r="50" customFormat="false" ht="15" hidden="false" customHeight="false" outlineLevel="0" collapsed="false">
      <c r="B50" s="11" t="s">
        <v>219</v>
      </c>
      <c r="C50" s="23" t="n">
        <f aca="false">C46+입력!$C$50+C47+C48+입력!$C$51</f>
        <v>488.065185546875</v>
      </c>
      <c r="D50" s="16" t="s">
        <v>83</v>
      </c>
      <c r="E50" s="13"/>
    </row>
    <row r="51" customFormat="false" ht="15" hidden="false" customHeight="false" outlineLevel="0" collapsed="false">
      <c r="B51" s="11" t="s">
        <v>220</v>
      </c>
      <c r="C51" s="23" t="n">
        <f aca="false">C46+입력!$C$50+MAX(C47+C48,C49)+입력!$C$51</f>
        <v>1290</v>
      </c>
      <c r="D51" s="16" t="s">
        <v>83</v>
      </c>
      <c r="E51" s="13"/>
    </row>
    <row r="52" customFormat="false" ht="15" hidden="false" customHeight="false" outlineLevel="0" collapsed="false">
      <c r="B52" s="27" t="s">
        <v>221</v>
      </c>
      <c r="C52" s="28" t="n">
        <f aca="false">C50*상수!$C$20/상수!$C$21</f>
        <v>732.097778320313</v>
      </c>
      <c r="D52" s="16" t="s">
        <v>83</v>
      </c>
      <c r="E52" s="13"/>
    </row>
    <row r="53" customFormat="false" ht="15" hidden="false" customHeight="false" outlineLevel="0" collapsed="false">
      <c r="B53" s="27" t="s">
        <v>222</v>
      </c>
      <c r="C53" s="28" t="n">
        <f aca="false">C51*상수!$C$20/상수!$C$21</f>
        <v>1935</v>
      </c>
      <c r="D53" s="16" t="s">
        <v>83</v>
      </c>
      <c r="E53" s="13" t="s">
        <v>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3.34"/>
    <col collapsed="false" customWidth="true" hidden="false" outlineLevel="0" max="2" min="2" style="0" width="28.38"/>
    <col collapsed="false" customWidth="true" hidden="false" outlineLevel="0" max="3" min="3" style="0" width="13.35"/>
    <col collapsed="false" customWidth="true" hidden="false" outlineLevel="0" max="4" min="4" style="0" width="15.02"/>
    <col collapsed="false" customWidth="true" hidden="false" outlineLevel="0" max="5" min="5" style="0" width="18.36"/>
    <col collapsed="false" customWidth="true" hidden="false" outlineLevel="0" max="6" min="6" style="0" width="36.72"/>
  </cols>
  <sheetData>
    <row r="1" customFormat="false" ht="15" hidden="false" customHeight="false" outlineLevel="0" collapsed="false">
      <c r="B1" s="1" t="s">
        <v>224</v>
      </c>
      <c r="C1" s="8"/>
      <c r="D1" s="8"/>
      <c r="E1" s="8"/>
      <c r="F1" s="8"/>
    </row>
    <row r="2" customFormat="false" ht="15" hidden="false" customHeight="false" outlineLevel="0" collapsed="false">
      <c r="A2" s="9" t="s">
        <v>225</v>
      </c>
      <c r="B2" s="10"/>
      <c r="C2" s="10"/>
      <c r="D2" s="10"/>
      <c r="E2" s="10"/>
    </row>
    <row r="3" customFormat="false" ht="15" hidden="false" customHeight="false" outlineLevel="0" collapsed="false">
      <c r="B3" s="11" t="s">
        <v>226</v>
      </c>
      <c r="C3" s="23" t="n">
        <f aca="false">MAX(입력!$C$43,입력!$C$44*상수!$C$23)</f>
        <v>64</v>
      </c>
      <c r="D3" s="13" t="s">
        <v>103</v>
      </c>
      <c r="E3" s="16" t="s">
        <v>227</v>
      </c>
    </row>
    <row r="4" customFormat="false" ht="15" hidden="false" customHeight="false" outlineLevel="0" collapsed="false">
      <c r="B4" s="11" t="s">
        <v>228</v>
      </c>
      <c r="C4" s="23" t="n">
        <f aca="false">산정!C35*C3</f>
        <v>192</v>
      </c>
      <c r="D4" s="13" t="s">
        <v>103</v>
      </c>
      <c r="E4" s="13" t="s">
        <v>229</v>
      </c>
    </row>
    <row r="5" customFormat="false" ht="15" hidden="false" customHeight="false" outlineLevel="0" collapsed="false">
      <c r="B5" s="18" t="s">
        <v>230</v>
      </c>
      <c r="C5" s="23" t="n">
        <f aca="false">IF(OR(입력!$C$39="vGPU",입력!$C$40="예"),산정!C34,0)</f>
        <v>12</v>
      </c>
      <c r="D5" s="13" t="s">
        <v>85</v>
      </c>
      <c r="E5" s="16" t="s">
        <v>231</v>
      </c>
    </row>
    <row r="7" customFormat="false" ht="15" hidden="false" customHeight="false" outlineLevel="0" collapsed="false">
      <c r="A7" s="9" t="s">
        <v>232</v>
      </c>
      <c r="B7" s="10"/>
      <c r="C7" s="10"/>
      <c r="D7" s="10"/>
      <c r="E7" s="10"/>
    </row>
    <row r="8" customFormat="false" ht="15" hidden="false" customHeight="false" outlineLevel="0" collapsed="false">
      <c r="B8" s="33" t="s">
        <v>233</v>
      </c>
      <c r="C8" s="33" t="s">
        <v>234</v>
      </c>
      <c r="D8" s="33" t="s">
        <v>235</v>
      </c>
      <c r="E8" s="33" t="s">
        <v>236</v>
      </c>
      <c r="F8" s="33" t="s">
        <v>237</v>
      </c>
    </row>
    <row r="9" customFormat="false" ht="15" hidden="false" customHeight="false" outlineLevel="0" collapsed="false">
      <c r="B9" s="18" t="s">
        <v>238</v>
      </c>
      <c r="C9" s="23" t="n">
        <f aca="false">C4</f>
        <v>192</v>
      </c>
      <c r="D9" s="34"/>
      <c r="E9" s="35" t="str">
        <f aca="false">IF(D9="","견적 입력 필요",C9*D9)</f>
        <v>견적 입력 필요</v>
      </c>
      <c r="F9" s="13" t="s">
        <v>239</v>
      </c>
    </row>
    <row r="10" customFormat="false" ht="15" hidden="false" customHeight="false" outlineLevel="0" collapsed="false">
      <c r="B10" s="18" t="s">
        <v>240</v>
      </c>
      <c r="C10" s="23" t="n">
        <f aca="false">C5</f>
        <v>12</v>
      </c>
      <c r="D10" s="34"/>
      <c r="E10" s="35" t="str">
        <f aca="false">IF(D10="","견적 입력 필요",C10*D10)</f>
        <v>견적 입력 필요</v>
      </c>
      <c r="F10" s="16" t="s">
        <v>241</v>
      </c>
    </row>
    <row r="11" customFormat="false" ht="15" hidden="false" customHeight="false" outlineLevel="0" collapsed="false">
      <c r="B11" s="18" t="s">
        <v>242</v>
      </c>
      <c r="C11" s="23" t="n">
        <f aca="false">1</f>
        <v>1</v>
      </c>
      <c r="D11" s="34"/>
      <c r="E11" s="35" t="str">
        <f aca="false">IF(D11="","견적 입력 필요",C11*D11)</f>
        <v>견적 입력 필요</v>
      </c>
      <c r="F11" s="16" t="s">
        <v>243</v>
      </c>
    </row>
    <row r="12" customFormat="false" ht="15" hidden="false" customHeight="false" outlineLevel="0" collapsed="false">
      <c r="B12" s="18" t="s">
        <v>244</v>
      </c>
      <c r="C12" s="23" t="n">
        <f aca="false">산정!C34</f>
        <v>12</v>
      </c>
      <c r="D12" s="34"/>
      <c r="E12" s="35" t="str">
        <f aca="false">IF(D12="","견적 입력 필요",C12*D12)</f>
        <v>견적 입력 필요</v>
      </c>
      <c r="F12" s="13" t="s">
        <v>245</v>
      </c>
    </row>
    <row r="13" customFormat="false" ht="15" hidden="false" customHeight="false" outlineLevel="0" collapsed="false">
      <c r="B13" s="18" t="s">
        <v>246</v>
      </c>
      <c r="C13" s="23" t="n">
        <f aca="false">산정!C33</f>
        <v>3</v>
      </c>
      <c r="D13" s="34"/>
      <c r="E13" s="35" t="str">
        <f aca="false">IF(D13="","견적 입력 필요",C13*D13)</f>
        <v>견적 입력 필요</v>
      </c>
      <c r="F13" s="13" t="s">
        <v>247</v>
      </c>
    </row>
    <row r="14" customFormat="false" ht="15" hidden="false" customHeight="false" outlineLevel="0" collapsed="false">
      <c r="B14" s="11" t="s">
        <v>248</v>
      </c>
      <c r="C14" s="23" t="n">
        <f aca="false">IF(입력!$C$41="분리형",입력!$C$42,0)</f>
        <v>0</v>
      </c>
      <c r="D14" s="34"/>
      <c r="E14" s="35" t="str">
        <f aca="false">IF(D14="","견적 입력 필요",C14*D14)</f>
        <v>견적 입력 필요</v>
      </c>
      <c r="F14" s="13" t="s">
        <v>249</v>
      </c>
    </row>
    <row r="15" customFormat="false" ht="15" hidden="false" customHeight="false" outlineLevel="0" collapsed="false">
      <c r="B15" s="11" t="s">
        <v>250</v>
      </c>
      <c r="C15" s="23" t="n">
        <f aca="false">산정!C53</f>
        <v>1935</v>
      </c>
      <c r="D15" s="34"/>
      <c r="E15" s="35" t="str">
        <f aca="false">IF(D15="","견적 입력 필요",C15*D15)</f>
        <v>견적 입력 필요</v>
      </c>
      <c r="F15" s="13" t="s">
        <v>251</v>
      </c>
    </row>
    <row r="16" customFormat="false" ht="15" hidden="false" customHeight="false" outlineLevel="0" collapsed="false">
      <c r="B16" s="11" t="s">
        <v>252</v>
      </c>
      <c r="C16" s="23" t="n">
        <f aca="false">1</f>
        <v>1</v>
      </c>
      <c r="D16" s="34"/>
      <c r="E16" s="35" t="str">
        <f aca="false">IF(D16="","견적 입력 필요",C16*D16)</f>
        <v>견적 입력 필요</v>
      </c>
      <c r="F16" s="13" t="s">
        <v>253</v>
      </c>
    </row>
    <row r="17" customFormat="false" ht="15" hidden="false" customHeight="false" outlineLevel="0" collapsed="false">
      <c r="B17" s="11" t="s">
        <v>254</v>
      </c>
      <c r="C17" s="23" t="n">
        <f aca="false">산정!C34</f>
        <v>12</v>
      </c>
      <c r="D17" s="34"/>
      <c r="E17" s="35" t="str">
        <f aca="false">IF(D17="","견적 입력 필요",C17*D17)</f>
        <v>견적 입력 필요</v>
      </c>
      <c r="F17" s="16" t="s">
        <v>255</v>
      </c>
    </row>
    <row r="18" customFormat="false" ht="15" hidden="false" customHeight="false" outlineLevel="0" collapsed="false">
      <c r="B18" s="11" t="s">
        <v>256</v>
      </c>
      <c r="C18" s="23" t="n">
        <f aca="false">1</f>
        <v>1</v>
      </c>
      <c r="D18" s="34"/>
      <c r="E18" s="35" t="str">
        <f aca="false">IF(D18="","견적 입력 필요",C18*D18)</f>
        <v>견적 입력 필요</v>
      </c>
      <c r="F18" s="13" t="s">
        <v>257</v>
      </c>
    </row>
    <row r="19" customFormat="false" ht="15" hidden="false" customHeight="false" outlineLevel="0" collapsed="false">
      <c r="B19" s="11" t="s">
        <v>258</v>
      </c>
      <c r="C19" s="23" t="n">
        <f aca="false">0</f>
        <v>0</v>
      </c>
      <c r="D19" s="34"/>
      <c r="E19" s="35" t="str">
        <f aca="false">IF(D19="","견적 입력 필요",C19*D19)</f>
        <v>견적 입력 필요</v>
      </c>
      <c r="F19" s="13" t="s">
        <v>259</v>
      </c>
    </row>
    <row r="20" customFormat="false" ht="15" hidden="false" customHeight="false" outlineLevel="0" collapsed="false">
      <c r="B20" s="11" t="s">
        <v>260</v>
      </c>
      <c r="C20" s="23" t="n">
        <f aca="false">1</f>
        <v>1</v>
      </c>
      <c r="D20" s="34"/>
      <c r="E20" s="35" t="str">
        <f aca="false">IF(D20="","견적 입력 필요",C20*D20)</f>
        <v>견적 입력 필요</v>
      </c>
      <c r="F20" s="13" t="s">
        <v>261</v>
      </c>
    </row>
    <row r="22" customFormat="false" ht="15" hidden="false" customHeight="false" outlineLevel="0" collapsed="false">
      <c r="B22" s="36" t="s">
        <v>262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2026-09-13T18:21:07Z</dcterms:created>
  <dc:creator>openpyxl</dc:creator>
  <dc:description/>
  <dc:language>ko-KR</dc:language>
  <cp:lastModifiedBy/>
  <dcterms:modified xsi:type="dcterms:W3CDTF">2026-09-13T18:21:07Z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